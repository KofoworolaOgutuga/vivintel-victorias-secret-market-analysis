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48707_georgebrown_ca/Documents/"/>
    </mc:Choice>
  </mc:AlternateContent>
  <xr:revisionPtr revIDLastSave="0" documentId="8_{F3B3EAA8-D1B8-4515-B2FF-5B8A0E774B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8+ Shoppers" sheetId="3" r:id="rId1"/>
    <sheet name="Full dat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6" i="3"/>
  <c r="D6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7" i="3"/>
</calcChain>
</file>

<file path=xl/sharedStrings.xml><?xml version="1.0" encoding="utf-8"?>
<sst xmlns="http://schemas.openxmlformats.org/spreadsheetml/2006/main" count="303" uniqueCount="77">
  <si>
    <t>18+ Victoria Secret shoppers vs 18+ Other shopper</t>
  </si>
  <si>
    <t>Vividata's SCC | Study of the Canadian Consumer</t>
  </si>
  <si>
    <t>Women's Clothing-Where Personally Bought/Past 12 Months (National)</t>
  </si>
  <si>
    <t>Victoria's Secret</t>
  </si>
  <si>
    <t>La Senza OR La Vie en Rose</t>
  </si>
  <si>
    <t>Base: 18+</t>
  </si>
  <si>
    <t>2025 Summer to 2023 Summer (Avg)</t>
  </si>
  <si>
    <t>Totals</t>
  </si>
  <si>
    <t>Pop. (000)</t>
  </si>
  <si>
    <t>% Col</t>
  </si>
  <si>
    <t>Personal Appearance-Statements-Any Agree (4-5)</t>
  </si>
  <si>
    <t xml:space="preserve">My confidence is greatly enhanced when I know I look my best  </t>
  </si>
  <si>
    <t>Personal Appearance-Statements-Any Disagree (1-2)</t>
  </si>
  <si>
    <t>Social/Political/Ethical-Statements-Any Agree (4-5)</t>
  </si>
  <si>
    <t>I think we should strive for equality for all</t>
  </si>
  <si>
    <t>Men and women should share household responsibilities equally</t>
  </si>
  <si>
    <t>I think men and women are given equal opportunities</t>
  </si>
  <si>
    <t>Men and women are still not treated equally in the workplace</t>
  </si>
  <si>
    <t>Feminism isn’t about treating women favourably but equally</t>
  </si>
  <si>
    <t>Social/Political/Ethical-Statements-Any Disagree (1-2)</t>
  </si>
  <si>
    <t>Geography-Province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</si>
  <si>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</si>
  <si>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</si>
  <si>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</si>
  <si>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</si>
  <si>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</si>
  <si>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</si>
  <si>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</si>
  <si>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</si>
  <si>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Age/Generation-Age (Summary)</t>
  </si>
  <si>
    <t>18-24</t>
  </si>
  <si>
    <t>25-34</t>
  </si>
  <si>
    <t>35-49</t>
  </si>
  <si>
    <t>50-64</t>
  </si>
  <si>
    <t>65+</t>
  </si>
  <si>
    <t>Source:</t>
  </si>
  <si>
    <t>Vividata's SCC | Study of the Canadian Consumer: 2025 Summer, 2025 Spring, 2025 Winter, 2024 Fall, 2024 Summer, 2024 Spring, 2024 Winter, 2023 Fall, 2023 Summer</t>
  </si>
  <si>
    <t xml:space="preserve">Sample Caution: </t>
  </si>
  <si>
    <t>"*" Projection relatively unstable. Use with caution.</t>
  </si>
  <si>
    <t>"#" Unrealiable projection. Shown for consistency only.</t>
  </si>
  <si>
    <t>18+ Victoria Secret shoppers vs 18+ Other shopper_Duplicate</t>
  </si>
  <si>
    <t>2025 Summer</t>
  </si>
  <si>
    <t>2025 Spring</t>
  </si>
  <si>
    <t>2025 Winter</t>
  </si>
  <si>
    <t>2024 Fall</t>
  </si>
  <si>
    <t>2024 Summer</t>
  </si>
  <si>
    <t>2024 Spring</t>
  </si>
  <si>
    <t>2024 Winter</t>
  </si>
  <si>
    <t>2023 Fall</t>
  </si>
  <si>
    <t>2023 Summer</t>
  </si>
  <si>
    <t>Newfoundland and Labrador</t>
  </si>
  <si>
    <t>2 #</t>
  </si>
  <si>
    <t>0 #</t>
  </si>
  <si>
    <t>8 #</t>
  </si>
  <si>
    <t>5 #</t>
  </si>
  <si>
    <t>4 #</t>
  </si>
  <si>
    <t>6 #</t>
  </si>
  <si>
    <t>21 *</t>
  </si>
  <si>
    <t>19 *</t>
  </si>
  <si>
    <t>12 *</t>
  </si>
  <si>
    <t>10 *</t>
  </si>
  <si>
    <t>Prince Edward Island</t>
  </si>
  <si>
    <t>3 #</t>
  </si>
  <si>
    <t>10 #</t>
  </si>
  <si>
    <t>7 #</t>
  </si>
  <si>
    <t>13 #</t>
  </si>
  <si>
    <t>8 *</t>
  </si>
  <si>
    <t>9 *</t>
  </si>
  <si>
    <t>17 *</t>
  </si>
  <si>
    <t>22 *</t>
  </si>
  <si>
    <t>5 *</t>
  </si>
  <si>
    <t>15 *</t>
  </si>
  <si>
    <t>27 *</t>
  </si>
  <si>
    <t>18 *</t>
  </si>
  <si>
    <t>23 *</t>
  </si>
  <si>
    <t>46 *</t>
  </si>
  <si>
    <t>58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</si>
</sst>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>
    <font>
      <sz val="11"/>
      <color rgb="FF000000"/>
      <name val="Calibri"/>
      <family val="2"/>
    </font>
    <font>
      <sz val="12"/>
      <color rgb="FFFFFFFF"/>
      <name val="Segoe UI Semibold (Headings)"/>
      <family val="2"/>
    </font>
    <font>
      <sz val="8"/>
      <color rgb="FFFFFFFF"/>
      <name val="Segoe UI Semibold (Headings)"/>
      <family val="2"/>
    </font>
    <font>
      <b/>
      <sz val="8"/>
      <color rgb="FF000000"/>
      <name val="Segoe UI Semibold (Headings)"/>
      <family val="2"/>
    </font>
    <font>
      <sz val="8"/>
      <color rgb="FF000000"/>
      <name val="Segoe UI (Body)"/>
      <family val="2"/>
    </font>
    <font>
      <b/>
      <sz val="8"/>
      <color rgb="FF000000"/>
      <name val="Segoe UI (Body)"/>
      <family val="2"/>
    </font>
  </fonts>
  <fills count="5">
    <fill>
      <patternFill patternType="none"/>
    </fill>
    <fill>
      <patternFill patternType="gray125"/>
    </fill>
    <fill>
      <patternFill patternType="solid">
        <fgColor rgb="FFE3E3EC"/>
      </patternFill>
    </fill>
    <fill>
      <patternFill patternType="solid">
        <fgColor rgb="FF1F1F4F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/>
      <right style="thin">
        <color rgb="FFE3E3EC"/>
      </right>
      <top/>
      <bottom/>
      <diagonal/>
    </border>
  </borders>
  <cellStyleXfs count="1">
    <xf numFmtId="0" fontId="0" fillId="0" borderId="0" applyBorder="0"/>
  </cellStyleXfs>
  <cellXfs count="20">
    <xf numFmtId="0" fontId="0" fillId="0" borderId="0" xfId="0"/>
    <xf numFmtId="0" fontId="5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3" borderId="0" xfId="0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164" fontId="4" fillId="0" borderId="0" xfId="0" applyNumberFormat="1" applyFont="1"/>
    <xf numFmtId="2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tabSelected="1" workbookViewId="0">
      <pane xSplit="3" ySplit="5" topLeftCell="D6" activePane="bottomRight" state="frozenSplit"/>
      <selection pane="bottomRight" activeCell="B8" sqref="B8:B9"/>
      <selection pane="bottomLeft"/>
      <selection pane="topRight"/>
    </sheetView>
  </sheetViews>
  <sheetFormatPr defaultColWidth="10.85546875" defaultRowHeight="14.45"/>
  <cols>
    <col min="1" max="1" width="21.7109375" customWidth="1"/>
    <col min="2" max="2" width="46.85546875" customWidth="1"/>
    <col min="3" max="3" width="9" customWidth="1"/>
    <col min="4" max="5" width="49.140625" customWidth="1"/>
  </cols>
  <sheetData>
    <row r="1" spans="1:5" ht="24" customHeight="1">
      <c r="A1" s="5"/>
      <c r="B1" s="6" t="s">
        <v>0</v>
      </c>
      <c r="C1" s="5"/>
      <c r="D1" s="5"/>
      <c r="E1" s="5"/>
    </row>
    <row r="2" spans="1:5" ht="24" customHeight="1">
      <c r="A2" s="5"/>
      <c r="B2" s="7" t="s">
        <v>1</v>
      </c>
      <c r="C2" s="5"/>
      <c r="D2" s="5"/>
      <c r="E2" s="5"/>
    </row>
    <row r="3" spans="1:5" ht="27" customHeight="1">
      <c r="A3" s="8"/>
      <c r="B3" s="8"/>
      <c r="C3" s="8"/>
      <c r="D3" s="4" t="s">
        <v>2</v>
      </c>
      <c r="E3" s="4" t="s">
        <v>2</v>
      </c>
    </row>
    <row r="4" spans="1:5" ht="27" customHeight="1">
      <c r="A4" s="8"/>
      <c r="B4" s="8"/>
      <c r="C4" s="8"/>
      <c r="D4" s="3" t="s">
        <v>3</v>
      </c>
      <c r="E4" s="3" t="s">
        <v>4</v>
      </c>
    </row>
    <row r="5" spans="1:5" ht="27" customHeight="1">
      <c r="A5" s="8"/>
      <c r="B5" s="11" t="s">
        <v>5</v>
      </c>
      <c r="C5" s="8"/>
      <c r="D5" s="1" t="s">
        <v>6</v>
      </c>
      <c r="E5" s="1" t="s">
        <v>6</v>
      </c>
    </row>
    <row r="6" spans="1:5" ht="16.5" customHeight="1">
      <c r="A6" s="15"/>
      <c r="B6" s="16" t="s">
        <v>7</v>
      </c>
      <c r="C6" s="2" t="s">
        <v>8</v>
      </c>
      <c r="D6" s="12">
        <f>AVERAGE('Full dates'!D6:L6)</f>
        <v>1004.4444444444445</v>
      </c>
      <c r="E6" s="12">
        <f>AVERAGE('Full dates'!M6:U6)</f>
        <v>1948.2222222222222</v>
      </c>
    </row>
    <row r="7" spans="1:5" ht="16.5" customHeight="1">
      <c r="A7" s="15"/>
      <c r="B7" s="16"/>
      <c r="C7" s="2" t="s">
        <v>9</v>
      </c>
      <c r="D7" s="12">
        <f>AVERAGE('Full dates'!D7:L7)</f>
        <v>100</v>
      </c>
      <c r="E7" s="12">
        <f>AVERAGE('Full dates'!M7:U7)</f>
        <v>100</v>
      </c>
    </row>
    <row r="8" spans="1:5" ht="16.5" customHeight="1">
      <c r="A8" s="15" t="s">
        <v>10</v>
      </c>
      <c r="B8" s="16" t="s">
        <v>11</v>
      </c>
      <c r="C8" s="2" t="s">
        <v>8</v>
      </c>
      <c r="D8" s="12">
        <f>AVERAGE('Full dates'!D8:L8)</f>
        <v>644.11111111111109</v>
      </c>
      <c r="E8" s="12">
        <f>AVERAGE('Full dates'!M8:U8)</f>
        <v>1289</v>
      </c>
    </row>
    <row r="9" spans="1:5" ht="16.5" customHeight="1">
      <c r="A9" s="15"/>
      <c r="B9" s="16"/>
      <c r="C9" s="2" t="s">
        <v>9</v>
      </c>
      <c r="D9" s="12">
        <f>AVERAGE('Full dates'!D9:L9)</f>
        <v>64.569999694824219</v>
      </c>
      <c r="E9" s="12">
        <f>AVERAGE('Full dates'!M9:U9)</f>
        <v>66.739999559190565</v>
      </c>
    </row>
    <row r="10" spans="1:5" ht="16.5" customHeight="1">
      <c r="A10" s="15" t="s">
        <v>12</v>
      </c>
      <c r="B10" s="16" t="s">
        <v>11</v>
      </c>
      <c r="C10" s="2" t="s">
        <v>8</v>
      </c>
      <c r="D10" s="12">
        <f>AVERAGE('Full dates'!D10:L10)</f>
        <v>89.555555555555557</v>
      </c>
      <c r="E10" s="12">
        <f>AVERAGE('Full dates'!M10:U10)</f>
        <v>199.77777777777777</v>
      </c>
    </row>
    <row r="11" spans="1:5" ht="16.5" customHeight="1">
      <c r="A11" s="15"/>
      <c r="B11" s="16"/>
      <c r="C11" s="2" t="s">
        <v>9</v>
      </c>
      <c r="D11" s="12">
        <f>AVERAGE('Full dates'!D11:L11)</f>
        <v>8.7344443533155687</v>
      </c>
      <c r="E11" s="12">
        <f>AVERAGE('Full dates'!M11:U11)</f>
        <v>10.016666677263061</v>
      </c>
    </row>
    <row r="12" spans="1:5" ht="16.5" customHeight="1">
      <c r="A12" s="15" t="s">
        <v>13</v>
      </c>
      <c r="B12" s="16" t="s">
        <v>14</v>
      </c>
      <c r="C12" s="2" t="s">
        <v>8</v>
      </c>
      <c r="D12" s="12">
        <f>AVERAGE('Full dates'!D12:L12)</f>
        <v>732.66666666666663</v>
      </c>
      <c r="E12" s="12">
        <f>AVERAGE('Full dates'!M12:U12)</f>
        <v>1459</v>
      </c>
    </row>
    <row r="13" spans="1:5" ht="16.5" customHeight="1">
      <c r="A13" s="15"/>
      <c r="B13" s="16"/>
      <c r="C13" s="2" t="s">
        <v>9</v>
      </c>
      <c r="D13" s="12">
        <f>AVERAGE('Full dates'!D13:L13)</f>
        <v>73.058889600965713</v>
      </c>
      <c r="E13" s="12">
        <f>AVERAGE('Full dates'!M13:U13)</f>
        <v>75.061111450195313</v>
      </c>
    </row>
    <row r="14" spans="1:5" ht="16.5" customHeight="1">
      <c r="A14" s="15" t="s">
        <v>13</v>
      </c>
      <c r="B14" s="16" t="s">
        <v>15</v>
      </c>
      <c r="C14" s="2" t="s">
        <v>8</v>
      </c>
      <c r="D14" s="12">
        <f>AVERAGE('Full dates'!D14:L14)</f>
        <v>730.88888888888891</v>
      </c>
      <c r="E14" s="12">
        <f>AVERAGE('Full dates'!M14:U14)</f>
        <v>1462.3333333333333</v>
      </c>
    </row>
    <row r="15" spans="1:5" ht="16.5" customHeight="1">
      <c r="A15" s="15"/>
      <c r="B15" s="16"/>
      <c r="C15" s="2" t="s">
        <v>9</v>
      </c>
      <c r="D15" s="12">
        <f>AVERAGE('Full dates'!D15:L15)</f>
        <v>72.599999321831589</v>
      </c>
      <c r="E15" s="12">
        <f>AVERAGE('Full dates'!M15:U15)</f>
        <v>75.073333740234389</v>
      </c>
    </row>
    <row r="16" spans="1:5" ht="16.5" customHeight="1">
      <c r="A16" s="15" t="s">
        <v>13</v>
      </c>
      <c r="B16" s="16" t="s">
        <v>16</v>
      </c>
      <c r="C16" s="2" t="s">
        <v>8</v>
      </c>
      <c r="D16" s="12">
        <f>AVERAGE('Full dates'!D16:L16)</f>
        <v>391.44444444444446</v>
      </c>
      <c r="E16" s="12">
        <f>AVERAGE('Full dates'!M16:U16)</f>
        <v>736.33333333333337</v>
      </c>
    </row>
    <row r="17" spans="1:5" ht="16.5" customHeight="1">
      <c r="A17" s="15"/>
      <c r="B17" s="16"/>
      <c r="C17" s="2" t="s">
        <v>9</v>
      </c>
      <c r="D17" s="12">
        <f>AVERAGE('Full dates'!D17:L17)</f>
        <v>38.89222251044378</v>
      </c>
      <c r="E17" s="12">
        <f>AVERAGE('Full dates'!M17:U17)</f>
        <v>37.613332960340728</v>
      </c>
    </row>
    <row r="18" spans="1:5" ht="16.5" customHeight="1">
      <c r="A18" s="15" t="s">
        <v>13</v>
      </c>
      <c r="B18" s="16" t="s">
        <v>17</v>
      </c>
      <c r="C18" s="2" t="s">
        <v>8</v>
      </c>
      <c r="D18" s="12">
        <f>AVERAGE('Full dates'!D18:L18)</f>
        <v>635</v>
      </c>
      <c r="E18" s="12">
        <f>AVERAGE('Full dates'!M18:U18)</f>
        <v>1250.5555555555557</v>
      </c>
    </row>
    <row r="19" spans="1:5" ht="16.5" customHeight="1">
      <c r="A19" s="15"/>
      <c r="B19" s="16"/>
      <c r="C19" s="2" t="s">
        <v>9</v>
      </c>
      <c r="D19" s="12">
        <f>AVERAGE('Full dates'!D19:L19)</f>
        <v>63.513333214653862</v>
      </c>
      <c r="E19" s="12">
        <f>AVERAGE('Full dates'!M19:U19)</f>
        <v>64.253333197699646</v>
      </c>
    </row>
    <row r="20" spans="1:5" ht="16.5" customHeight="1">
      <c r="A20" s="15" t="s">
        <v>13</v>
      </c>
      <c r="B20" s="16" t="s">
        <v>18</v>
      </c>
      <c r="C20" s="2" t="s">
        <v>8</v>
      </c>
      <c r="D20" s="12">
        <f>AVERAGE('Full dates'!D20:L20)</f>
        <v>688.11111111111109</v>
      </c>
      <c r="E20" s="12">
        <f>AVERAGE('Full dates'!M20:U20)</f>
        <v>1330.1111111111111</v>
      </c>
    </row>
    <row r="21" spans="1:5" ht="16.5" customHeight="1">
      <c r="A21" s="15"/>
      <c r="B21" s="16"/>
      <c r="C21" s="2" t="s">
        <v>9</v>
      </c>
      <c r="D21" s="12">
        <f>AVERAGE('Full dates'!D21:L21)</f>
        <v>68.565555996365021</v>
      </c>
      <c r="E21" s="12">
        <f>AVERAGE('Full dates'!M21:U21)</f>
        <v>68.247777303059877</v>
      </c>
    </row>
    <row r="22" spans="1:5" ht="16.5" customHeight="1">
      <c r="A22" s="15" t="s">
        <v>19</v>
      </c>
      <c r="B22" s="16" t="s">
        <v>14</v>
      </c>
      <c r="C22" s="2" t="s">
        <v>8</v>
      </c>
      <c r="D22" s="12">
        <f>AVERAGE('Full dates'!D22:L22)</f>
        <v>38</v>
      </c>
      <c r="E22" s="12">
        <f>AVERAGE('Full dates'!M22:U22)</f>
        <v>91.666666666666671</v>
      </c>
    </row>
    <row r="23" spans="1:5" ht="16.5" customHeight="1">
      <c r="A23" s="15"/>
      <c r="B23" s="16"/>
      <c r="C23" s="2" t="s">
        <v>9</v>
      </c>
      <c r="D23" s="12">
        <f>AVERAGE('Full dates'!D23:L23)</f>
        <v>3.6788888772328687</v>
      </c>
      <c r="E23" s="12">
        <f>AVERAGE('Full dates'!M23:U23)</f>
        <v>4.6955555015140105</v>
      </c>
    </row>
    <row r="24" spans="1:5" ht="16.5" customHeight="1">
      <c r="A24" s="15" t="s">
        <v>19</v>
      </c>
      <c r="B24" s="16" t="s">
        <v>15</v>
      </c>
      <c r="C24" s="2" t="s">
        <v>8</v>
      </c>
      <c r="D24" s="12">
        <f>AVERAGE('Full dates'!D24:L24)</f>
        <v>55</v>
      </c>
      <c r="E24" s="12">
        <f>AVERAGE('Full dates'!M24:U24)</f>
        <v>100.11111111111111</v>
      </c>
    </row>
    <row r="25" spans="1:5" ht="16.5" customHeight="1">
      <c r="A25" s="15"/>
      <c r="B25" s="16"/>
      <c r="C25" s="2" t="s">
        <v>9</v>
      </c>
      <c r="D25" s="12">
        <f>AVERAGE('Full dates'!D25:L25)</f>
        <v>5.4866667323642311</v>
      </c>
      <c r="E25" s="12">
        <f>AVERAGE('Full dates'!M25:U25)</f>
        <v>5.1333333651224784</v>
      </c>
    </row>
    <row r="26" spans="1:5" ht="16.5" customHeight="1">
      <c r="A26" s="15" t="s">
        <v>19</v>
      </c>
      <c r="B26" s="16" t="s">
        <v>16</v>
      </c>
      <c r="C26" s="2" t="s">
        <v>8</v>
      </c>
      <c r="D26" s="12">
        <f>AVERAGE('Full dates'!D26:L26)</f>
        <v>299.11111111111109</v>
      </c>
      <c r="E26" s="12">
        <f>AVERAGE('Full dates'!M26:U26)</f>
        <v>621.77777777777783</v>
      </c>
    </row>
    <row r="27" spans="1:5" ht="16.5" customHeight="1">
      <c r="A27" s="15"/>
      <c r="B27" s="16"/>
      <c r="C27" s="2" t="s">
        <v>9</v>
      </c>
      <c r="D27" s="12">
        <f>AVERAGE('Full dates'!D27:L27)</f>
        <v>29.789999855889203</v>
      </c>
      <c r="E27" s="12">
        <f>AVERAGE('Full dates'!M27:U27)</f>
        <v>31.893333435058576</v>
      </c>
    </row>
    <row r="28" spans="1:5" ht="16.5" customHeight="1">
      <c r="A28" s="15" t="s">
        <v>19</v>
      </c>
      <c r="B28" s="16" t="s">
        <v>17</v>
      </c>
      <c r="C28" s="2" t="s">
        <v>8</v>
      </c>
      <c r="D28" s="12">
        <f>AVERAGE('Full dates'!D28:L28)</f>
        <v>101.88888888888889</v>
      </c>
      <c r="E28" s="12">
        <f>AVERAGE('Full dates'!M28:U28)</f>
        <v>210.77777777777777</v>
      </c>
    </row>
    <row r="29" spans="1:5" ht="16.5" customHeight="1">
      <c r="A29" s="15"/>
      <c r="B29" s="16"/>
      <c r="C29" s="2" t="s">
        <v>9</v>
      </c>
      <c r="D29" s="12">
        <f>AVERAGE('Full dates'!D29:L29)</f>
        <v>10.034444385104711</v>
      </c>
      <c r="E29" s="12">
        <f>AVERAGE('Full dates'!M29:U29)</f>
        <v>10.751111136542416</v>
      </c>
    </row>
    <row r="30" spans="1:5" ht="16.5" customHeight="1">
      <c r="A30" s="15" t="s">
        <v>19</v>
      </c>
      <c r="B30" s="16" t="s">
        <v>18</v>
      </c>
      <c r="C30" s="2" t="s">
        <v>8</v>
      </c>
      <c r="D30" s="12">
        <f>AVERAGE('Full dates'!D30:L30)</f>
        <v>69.777777777777771</v>
      </c>
      <c r="E30" s="12">
        <f>AVERAGE('Full dates'!M30:U30)</f>
        <v>139.44444444444446</v>
      </c>
    </row>
    <row r="31" spans="1:5" ht="16.5" customHeight="1">
      <c r="A31" s="15"/>
      <c r="B31" s="16"/>
      <c r="C31" s="2" t="s">
        <v>9</v>
      </c>
      <c r="D31" s="12">
        <f>AVERAGE('Full dates'!D31:L31)</f>
        <v>6.7411111195882194</v>
      </c>
      <c r="E31" s="12">
        <f>AVERAGE('Full dates'!M31:U31)</f>
        <v>7.0833334392971459</v>
      </c>
    </row>
    <row r="32" spans="1:5" ht="16.5" customHeight="1">
      <c r="A32" s="15" t="s">
        <v>20</v>
      </c>
      <c r="B32" s="16" t="s">
        <v>21</v>
      </c>
      <c r="C32" s="2" t="s">
        <v>8</v>
      </c>
      <c r="D32" s="12">
        <f>AVERAGE('Full dates'!D36:L36)</f>
        <v>24.714285714285715</v>
      </c>
      <c r="E32" s="12">
        <f>AVERAGE('Full dates'!M36:U36)</f>
        <v>56.666666666666664</v>
      </c>
    </row>
    <row r="33" spans="1:5" ht="16.5" customHeight="1">
      <c r="A33" s="15"/>
      <c r="B33" s="16"/>
      <c r="C33" s="2" t="s">
        <v>9</v>
      </c>
      <c r="D33" s="12">
        <f>AVERAGE('Full dates'!D37:L37)</f>
        <v>2.4000000026490946</v>
      </c>
      <c r="E33" s="12">
        <f>AVERAGE('Full dates'!M37:U37)</f>
        <v>2.913333336512248</v>
      </c>
    </row>
    <row r="34" spans="1:5" ht="16.5" customHeight="1">
      <c r="A34" s="15" t="s">
        <v>20</v>
      </c>
      <c r="B34" s="16" t="s">
        <v>22</v>
      </c>
      <c r="C34" s="2" t="s">
        <v>8</v>
      </c>
      <c r="D34" s="12">
        <f>AVERAGE('Full dates'!D38:L38)</f>
        <v>28</v>
      </c>
      <c r="E34" s="12">
        <f>AVERAGE('Full dates'!M38:U38)</f>
        <v>40.333333333333336</v>
      </c>
    </row>
    <row r="35" spans="1:5" ht="16.5" customHeight="1">
      <c r="A35" s="15"/>
      <c r="B35" s="16"/>
      <c r="C35" s="2" t="s">
        <v>9</v>
      </c>
      <c r="D35" s="12">
        <f>AVERAGE('Full dates'!D39:L39)</f>
        <v>1.450000001324548</v>
      </c>
      <c r="E35" s="12">
        <f>AVERAGE('Full dates'!M39:U39)</f>
        <v>2.1699999703301334</v>
      </c>
    </row>
    <row r="36" spans="1:5" ht="16.5" customHeight="1">
      <c r="A36" s="15" t="s">
        <v>20</v>
      </c>
      <c r="B36" s="16" t="s">
        <v>23</v>
      </c>
      <c r="C36" s="2" t="s">
        <v>8</v>
      </c>
      <c r="D36" s="12">
        <f>AVERAGE('Full dates'!D40:L40)</f>
        <v>151.88888888888889</v>
      </c>
      <c r="E36" s="12">
        <f>AVERAGE('Full dates'!M40:U40)</f>
        <v>540.55555555555554</v>
      </c>
    </row>
    <row r="37" spans="1:5" ht="16.5" customHeight="1">
      <c r="A37" s="15"/>
      <c r="B37" s="16"/>
      <c r="C37" s="2" t="s">
        <v>9</v>
      </c>
      <c r="D37" s="12">
        <f>AVERAGE('Full dates'!D41:L41)</f>
        <v>15.243333498636892</v>
      </c>
      <c r="E37" s="12">
        <f>AVERAGE('Full dates'!M41:U41)</f>
        <v>28.054444419013123</v>
      </c>
    </row>
    <row r="38" spans="1:5" ht="16.5" customHeight="1">
      <c r="A38" s="15" t="s">
        <v>20</v>
      </c>
      <c r="B38" s="16" t="s">
        <v>24</v>
      </c>
      <c r="C38" s="2" t="s">
        <v>8</v>
      </c>
      <c r="D38" s="12">
        <f>AVERAGE('Full dates'!D42:L42)</f>
        <v>454.22222222222223</v>
      </c>
      <c r="E38" s="12">
        <f>AVERAGE('Full dates'!M42:U42)</f>
        <v>694.11111111111109</v>
      </c>
    </row>
    <row r="39" spans="1:5" ht="16.5" customHeight="1">
      <c r="A39" s="15"/>
      <c r="B39" s="16"/>
      <c r="C39" s="2" t="s">
        <v>9</v>
      </c>
      <c r="D39" s="12">
        <f>AVERAGE('Full dates'!D43:L43)</f>
        <v>45.253333621554901</v>
      </c>
      <c r="E39" s="12">
        <f>AVERAGE('Full dates'!M43:U43)</f>
        <v>35.44999949137371</v>
      </c>
    </row>
    <row r="40" spans="1:5" ht="16.5" customHeight="1">
      <c r="A40" s="15" t="s">
        <v>20</v>
      </c>
      <c r="B40" s="16" t="s">
        <v>25</v>
      </c>
      <c r="C40" s="2" t="s">
        <v>8</v>
      </c>
      <c r="D40" s="12">
        <f>AVERAGE('Full dates'!D44:L44)</f>
        <v>47</v>
      </c>
      <c r="E40" s="12">
        <f>AVERAGE('Full dates'!M44:U44)</f>
        <v>68.428571428571431</v>
      </c>
    </row>
    <row r="41" spans="1:5" ht="16.5" customHeight="1">
      <c r="A41" s="15"/>
      <c r="B41" s="16"/>
      <c r="C41" s="2" t="s">
        <v>9</v>
      </c>
      <c r="D41" s="12">
        <f>AVERAGE('Full dates'!D45:L45)</f>
        <v>4.6466666857401524</v>
      </c>
      <c r="E41" s="12">
        <f>AVERAGE('Full dates'!M45:U45)</f>
        <v>2.8466666407055325</v>
      </c>
    </row>
    <row r="42" spans="1:5" ht="16.5" customHeight="1">
      <c r="A42" s="15" t="s">
        <v>20</v>
      </c>
      <c r="B42" s="16" t="s">
        <v>26</v>
      </c>
      <c r="C42" s="2" t="s">
        <v>8</v>
      </c>
      <c r="D42" s="12">
        <f>AVERAGE('Full dates'!D46:L46)</f>
        <v>35.571428571428569</v>
      </c>
      <c r="E42" s="12">
        <f>AVERAGE('Full dates'!M46:U46)</f>
        <v>55.555555555555557</v>
      </c>
    </row>
    <row r="43" spans="1:5" ht="16.5" customHeight="1">
      <c r="A43" s="15"/>
      <c r="B43" s="16"/>
      <c r="C43" s="2" t="s">
        <v>9</v>
      </c>
      <c r="D43" s="12">
        <f>AVERAGE('Full dates'!D47:L47)</f>
        <v>3.9677777820163302</v>
      </c>
      <c r="E43" s="12">
        <f>AVERAGE('Full dates'!M47:U47)</f>
        <v>2.9066666497124571</v>
      </c>
    </row>
    <row r="44" spans="1:5" ht="16.5" customHeight="1">
      <c r="A44" s="15" t="s">
        <v>20</v>
      </c>
      <c r="B44" s="16" t="s">
        <v>27</v>
      </c>
      <c r="C44" s="2" t="s">
        <v>8</v>
      </c>
      <c r="D44" s="12">
        <f>AVERAGE('Full dates'!D48:L48)</f>
        <v>120.88888888888889</v>
      </c>
      <c r="E44" s="12">
        <f>AVERAGE('Full dates'!M48:U48)</f>
        <v>200.22222222222223</v>
      </c>
    </row>
    <row r="45" spans="1:5" ht="16.5" customHeight="1">
      <c r="A45" s="15"/>
      <c r="B45" s="16"/>
      <c r="C45" s="2" t="s">
        <v>9</v>
      </c>
      <c r="D45" s="12">
        <f>AVERAGE('Full dates'!D49:L49)</f>
        <v>11.943333307902012</v>
      </c>
      <c r="E45" s="12">
        <f>AVERAGE('Full dates'!M49:U49)</f>
        <v>10.312222268846293</v>
      </c>
    </row>
    <row r="46" spans="1:5" ht="16.5" customHeight="1">
      <c r="A46" s="15" t="s">
        <v>20</v>
      </c>
      <c r="B46" s="16" t="s">
        <v>28</v>
      </c>
      <c r="C46" s="2" t="s">
        <v>8</v>
      </c>
      <c r="D46" s="12">
        <f>AVERAGE('Full dates'!D50:L50)</f>
        <v>145.77777777777777</v>
      </c>
      <c r="E46" s="12">
        <f>AVERAGE('Full dates'!M50:U50)</f>
        <v>264.22222222222223</v>
      </c>
    </row>
    <row r="47" spans="1:5" ht="16.5" customHeight="1">
      <c r="A47" s="15"/>
      <c r="B47" s="16"/>
      <c r="C47" s="2" t="s">
        <v>9</v>
      </c>
      <c r="D47" s="12">
        <f>AVERAGE('Full dates'!D51:L51)</f>
        <v>14.424444410536021</v>
      </c>
      <c r="E47" s="12">
        <f>AVERAGE('Full dates'!M51:U51)</f>
        <v>13.445555580986868</v>
      </c>
    </row>
    <row r="48" spans="1:5" ht="16.5" customHeight="1">
      <c r="A48" s="15" t="s">
        <v>29</v>
      </c>
      <c r="B48" s="16" t="s">
        <v>30</v>
      </c>
      <c r="C48" s="2" t="s">
        <v>8</v>
      </c>
      <c r="D48" s="12">
        <f>AVERAGE('Full dates'!D52:L52)</f>
        <v>249.44444444444446</v>
      </c>
      <c r="E48" s="12">
        <f>AVERAGE('Full dates'!M52:U52)</f>
        <v>388.88888888888891</v>
      </c>
    </row>
    <row r="49" spans="1:5" ht="16.5" customHeight="1">
      <c r="A49" s="15"/>
      <c r="B49" s="16"/>
      <c r="C49" s="2" t="s">
        <v>9</v>
      </c>
      <c r="D49" s="12">
        <f>AVERAGE('Full dates'!D53:L53)</f>
        <v>25.036666446261947</v>
      </c>
      <c r="E49" s="12">
        <f>AVERAGE('Full dates'!M53:U53)</f>
        <v>20.196666505601669</v>
      </c>
    </row>
    <row r="50" spans="1:5" ht="16.5" customHeight="1">
      <c r="A50" s="15" t="s">
        <v>29</v>
      </c>
      <c r="B50" s="16" t="s">
        <v>31</v>
      </c>
      <c r="C50" s="2" t="s">
        <v>8</v>
      </c>
      <c r="D50" s="12">
        <f>AVERAGE('Full dates'!D54:L54)</f>
        <v>245.33333333333334</v>
      </c>
      <c r="E50" s="12">
        <f>AVERAGE('Full dates'!M54:U54)</f>
        <v>413.44444444444446</v>
      </c>
    </row>
    <row r="51" spans="1:5" ht="16.5" customHeight="1">
      <c r="A51" s="15"/>
      <c r="B51" s="16"/>
      <c r="C51" s="2" t="s">
        <v>9</v>
      </c>
      <c r="D51" s="12">
        <f>AVERAGE('Full dates'!D55:L55)</f>
        <v>24.573333316379113</v>
      </c>
      <c r="E51" s="12">
        <f>AVERAGE('Full dates'!M55:U55)</f>
        <v>21.112222035725921</v>
      </c>
    </row>
    <row r="52" spans="1:5" ht="16.5" customHeight="1">
      <c r="A52" s="15" t="s">
        <v>29</v>
      </c>
      <c r="B52" s="16" t="s">
        <v>32</v>
      </c>
      <c r="C52" s="2" t="s">
        <v>8</v>
      </c>
      <c r="D52" s="12">
        <f>AVERAGE('Full dates'!D56:L56)</f>
        <v>296.77777777777777</v>
      </c>
      <c r="E52" s="12">
        <f>AVERAGE('Full dates'!M56:U56)</f>
        <v>564.44444444444446</v>
      </c>
    </row>
    <row r="53" spans="1:5" ht="16.5" customHeight="1">
      <c r="A53" s="15"/>
      <c r="B53" s="16"/>
      <c r="C53" s="2" t="s">
        <v>9</v>
      </c>
      <c r="D53" s="12">
        <f>AVERAGE('Full dates'!D57:L57)</f>
        <v>29.353333791097</v>
      </c>
      <c r="E53" s="12">
        <f>AVERAGE('Full dates'!M57:U57)</f>
        <v>29.1311109330919</v>
      </c>
    </row>
    <row r="54" spans="1:5" ht="16.5" customHeight="1">
      <c r="A54" s="15" t="s">
        <v>29</v>
      </c>
      <c r="B54" s="16" t="s">
        <v>33</v>
      </c>
      <c r="C54" s="2" t="s">
        <v>8</v>
      </c>
      <c r="D54" s="12">
        <f>AVERAGE('Full dates'!D58:L58)</f>
        <v>128</v>
      </c>
      <c r="E54" s="12">
        <f>AVERAGE('Full dates'!M58:U58)</f>
        <v>377.66666666666669</v>
      </c>
    </row>
    <row r="55" spans="1:5" ht="16.5" customHeight="1">
      <c r="A55" s="15"/>
      <c r="B55" s="16"/>
      <c r="C55" s="2" t="s">
        <v>9</v>
      </c>
      <c r="D55" s="12">
        <f>AVERAGE('Full dates'!D59:L59)</f>
        <v>12.7788889143202</v>
      </c>
      <c r="E55" s="12">
        <f>AVERAGE('Full dates'!M59:U59)</f>
        <v>19.420000076293956</v>
      </c>
    </row>
    <row r="56" spans="1:5" ht="16.5" customHeight="1">
      <c r="A56" s="15" t="s">
        <v>29</v>
      </c>
      <c r="B56" s="16" t="s">
        <v>34</v>
      </c>
      <c r="C56" s="2" t="s">
        <v>8</v>
      </c>
      <c r="D56" s="12">
        <f>AVERAGE('Full dates'!D60:L60)</f>
        <v>85</v>
      </c>
      <c r="E56" s="12">
        <f>AVERAGE('Full dates'!M60:U60)</f>
        <v>203.66666666666666</v>
      </c>
    </row>
    <row r="57" spans="1:5" ht="16.5" customHeight="1">
      <c r="A57" s="15"/>
      <c r="B57" s="16"/>
      <c r="C57" s="2" t="s">
        <v>9</v>
      </c>
      <c r="D57" s="12">
        <f>AVERAGE('Full dates'!D61:L61)</f>
        <v>8.2744444741143059</v>
      </c>
      <c r="E57" s="12">
        <f>AVERAGE('Full dates'!M61:U61)</f>
        <v>10.136666615804032</v>
      </c>
    </row>
    <row r="58" spans="1:5" ht="16.5" customHeight="1"/>
    <row r="59" spans="1:5">
      <c r="A59" s="9" t="s">
        <v>35</v>
      </c>
      <c r="B59" s="10" t="s">
        <v>36</v>
      </c>
    </row>
    <row r="60" spans="1:5">
      <c r="A60" s="9" t="s">
        <v>37</v>
      </c>
      <c r="B60" s="10" t="s">
        <v>38</v>
      </c>
    </row>
    <row r="61" spans="1:5">
      <c r="A61" s="9"/>
      <c r="B61" s="10" t="s">
        <v>39</v>
      </c>
    </row>
  </sheetData>
  <mergeCells count="52">
    <mergeCell ref="A52:A53"/>
    <mergeCell ref="B52:B53"/>
    <mergeCell ref="A54:A55"/>
    <mergeCell ref="B54:B55"/>
    <mergeCell ref="A56:A57"/>
    <mergeCell ref="B56:B57"/>
    <mergeCell ref="A50:A51"/>
    <mergeCell ref="B50:B5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B44:B45"/>
    <mergeCell ref="A28:A29"/>
    <mergeCell ref="B28:B29"/>
    <mergeCell ref="A30:A31"/>
    <mergeCell ref="B30:B31"/>
    <mergeCell ref="A48:A49"/>
    <mergeCell ref="B48:B49"/>
    <mergeCell ref="A46:A47"/>
    <mergeCell ref="B46:B47"/>
    <mergeCell ref="A18:A19"/>
    <mergeCell ref="B18:B19"/>
    <mergeCell ref="A20:A21"/>
    <mergeCell ref="B20:B21"/>
    <mergeCell ref="A26:A27"/>
    <mergeCell ref="B26:B27"/>
    <mergeCell ref="A22:A23"/>
    <mergeCell ref="B22:B23"/>
    <mergeCell ref="A24:A25"/>
    <mergeCell ref="B24:B2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2FD2-BE2A-407D-ADE2-0495A2AFF715}">
  <dimension ref="A1:IC65"/>
  <sheetViews>
    <sheetView topLeftCell="D1" workbookViewId="0">
      <selection activeCell="D6" sqref="D6"/>
    </sheetView>
  </sheetViews>
  <sheetFormatPr defaultColWidth="10.85546875" defaultRowHeight="14.45"/>
  <cols>
    <col min="1" max="1" width="16.5703125" customWidth="1"/>
    <col min="2" max="2" width="32" customWidth="1"/>
    <col min="3" max="3" width="9" customWidth="1"/>
  </cols>
  <sheetData>
    <row r="1" spans="1:237" ht="24" customHeight="1">
      <c r="A1" s="5"/>
      <c r="B1" s="6" t="s">
        <v>40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37" ht="24" customHeight="1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37" ht="27" customHeight="1">
      <c r="A3" s="8"/>
      <c r="B3" s="8"/>
      <c r="C3" s="8"/>
      <c r="D3" s="17" t="s">
        <v>2</v>
      </c>
      <c r="E3" s="17"/>
      <c r="F3" s="17"/>
      <c r="G3" s="17"/>
      <c r="H3" s="17"/>
      <c r="I3" s="17"/>
      <c r="J3" s="17"/>
      <c r="K3" s="17"/>
      <c r="L3" s="17"/>
      <c r="M3" s="17" t="s">
        <v>2</v>
      </c>
      <c r="N3" s="17"/>
      <c r="O3" s="17"/>
      <c r="P3" s="17"/>
      <c r="Q3" s="17"/>
      <c r="R3" s="17"/>
      <c r="S3" s="17"/>
      <c r="T3" s="17"/>
      <c r="U3" s="17"/>
      <c r="V3" s="17"/>
      <c r="W3" s="19"/>
      <c r="X3" s="19"/>
      <c r="Y3" s="19"/>
      <c r="Z3" s="19"/>
      <c r="AA3" s="19"/>
      <c r="AB3" s="19"/>
      <c r="AC3" s="19"/>
      <c r="AD3" s="19"/>
      <c r="AE3" s="17"/>
      <c r="AF3" s="19"/>
      <c r="AG3" s="19"/>
      <c r="AH3" s="19"/>
      <c r="AI3" s="19"/>
      <c r="AJ3" s="19"/>
      <c r="AK3" s="19"/>
      <c r="AL3" s="19"/>
      <c r="AM3" s="19"/>
      <c r="AN3" s="17"/>
      <c r="AO3" s="19"/>
      <c r="AP3" s="19"/>
      <c r="AQ3" s="19"/>
      <c r="AR3" s="19"/>
      <c r="AS3" s="19"/>
      <c r="AT3" s="19"/>
      <c r="AU3" s="19"/>
      <c r="AV3" s="19"/>
      <c r="AW3" s="17"/>
      <c r="AX3" s="19"/>
      <c r="AY3" s="19"/>
      <c r="AZ3" s="19"/>
      <c r="BA3" s="19"/>
      <c r="BB3" s="19"/>
      <c r="BC3" s="19"/>
      <c r="BD3" s="19"/>
      <c r="BE3" s="19"/>
      <c r="BF3" s="17"/>
      <c r="BG3" s="19"/>
      <c r="BH3" s="19"/>
      <c r="BI3" s="19"/>
      <c r="BJ3" s="19"/>
      <c r="BK3" s="19"/>
      <c r="BL3" s="19"/>
      <c r="BM3" s="19"/>
      <c r="BN3" s="19"/>
      <c r="BO3" s="17"/>
      <c r="BP3" s="19"/>
      <c r="BQ3" s="19"/>
      <c r="BR3" s="19"/>
      <c r="BS3" s="19"/>
      <c r="BT3" s="19"/>
      <c r="BU3" s="19"/>
      <c r="BV3" s="19"/>
      <c r="BW3" s="19"/>
      <c r="BX3" s="17"/>
      <c r="BY3" s="19"/>
      <c r="BZ3" s="19"/>
      <c r="CA3" s="19"/>
      <c r="CB3" s="19"/>
      <c r="CC3" s="19"/>
      <c r="CD3" s="19"/>
      <c r="CE3" s="19"/>
      <c r="CF3" s="19"/>
      <c r="CG3" s="17"/>
      <c r="CH3" s="19"/>
      <c r="CI3" s="19"/>
      <c r="CJ3" s="19"/>
      <c r="CK3" s="19"/>
      <c r="CL3" s="19"/>
      <c r="CM3" s="19"/>
      <c r="CN3" s="19"/>
      <c r="CO3" s="19"/>
      <c r="CP3" s="17"/>
      <c r="CQ3" s="19"/>
      <c r="CR3" s="19"/>
      <c r="CS3" s="19"/>
      <c r="CT3" s="19"/>
      <c r="CU3" s="19"/>
      <c r="CV3" s="19"/>
      <c r="CW3" s="19"/>
      <c r="CX3" s="19"/>
      <c r="CY3" s="17"/>
      <c r="CZ3" s="19"/>
      <c r="DA3" s="19"/>
      <c r="DB3" s="19"/>
      <c r="DC3" s="19"/>
      <c r="DD3" s="19"/>
      <c r="DE3" s="19"/>
      <c r="DF3" s="19"/>
      <c r="DG3" s="19"/>
      <c r="DH3" s="17"/>
      <c r="DI3" s="19"/>
      <c r="DJ3" s="19"/>
      <c r="DK3" s="19"/>
      <c r="DL3" s="19"/>
      <c r="DM3" s="19"/>
      <c r="DN3" s="19"/>
      <c r="DO3" s="19"/>
      <c r="DP3" s="19"/>
      <c r="DQ3" s="17"/>
      <c r="DR3" s="19"/>
      <c r="DS3" s="19"/>
      <c r="DT3" s="19"/>
      <c r="DU3" s="19"/>
      <c r="DV3" s="19"/>
      <c r="DW3" s="19"/>
      <c r="DX3" s="19"/>
      <c r="DY3" s="19"/>
      <c r="DZ3" s="17"/>
      <c r="EA3" s="19"/>
      <c r="EB3" s="19"/>
      <c r="EC3" s="19"/>
      <c r="ED3" s="19"/>
      <c r="EE3" s="19"/>
      <c r="EF3" s="19"/>
      <c r="EG3" s="19"/>
      <c r="EH3" s="19"/>
      <c r="EI3" s="17"/>
      <c r="EJ3" s="19"/>
      <c r="EK3" s="19"/>
      <c r="EL3" s="19"/>
      <c r="EM3" s="19"/>
      <c r="EN3" s="19"/>
      <c r="EO3" s="19"/>
      <c r="EP3" s="19"/>
      <c r="EQ3" s="19"/>
      <c r="ER3" s="17"/>
      <c r="ES3" s="19"/>
      <c r="ET3" s="19"/>
      <c r="EU3" s="19"/>
      <c r="EV3" s="19"/>
      <c r="EW3" s="19"/>
      <c r="EX3" s="19"/>
      <c r="EY3" s="19"/>
      <c r="EZ3" s="19"/>
      <c r="FA3" s="17"/>
      <c r="FB3" s="19"/>
      <c r="FC3" s="19"/>
      <c r="FD3" s="19"/>
      <c r="FE3" s="19"/>
      <c r="FF3" s="19"/>
      <c r="FG3" s="19"/>
      <c r="FH3" s="19"/>
      <c r="FI3" s="19"/>
      <c r="FJ3" s="17"/>
      <c r="FK3" s="19"/>
      <c r="FL3" s="19"/>
      <c r="FM3" s="19"/>
      <c r="FN3" s="19"/>
      <c r="FO3" s="19"/>
      <c r="FP3" s="19"/>
      <c r="FQ3" s="19"/>
      <c r="FR3" s="19"/>
      <c r="FS3" s="17"/>
      <c r="FT3" s="19"/>
      <c r="FU3" s="19"/>
      <c r="FV3" s="19"/>
      <c r="FW3" s="19"/>
      <c r="FX3" s="19"/>
      <c r="FY3" s="19"/>
      <c r="FZ3" s="19"/>
      <c r="GA3" s="19"/>
      <c r="GB3" s="17"/>
      <c r="GC3" s="19"/>
      <c r="GD3" s="19"/>
      <c r="GE3" s="19"/>
      <c r="GF3" s="19"/>
      <c r="GG3" s="19"/>
      <c r="GH3" s="19"/>
      <c r="GI3" s="19"/>
      <c r="GJ3" s="19"/>
      <c r="GK3" s="17"/>
      <c r="GL3" s="19"/>
      <c r="GM3" s="19"/>
      <c r="GN3" s="19"/>
      <c r="GO3" s="19"/>
      <c r="GP3" s="19"/>
      <c r="GQ3" s="19"/>
      <c r="GR3" s="19"/>
      <c r="GS3" s="19"/>
      <c r="GT3" s="17"/>
      <c r="GU3" s="19"/>
      <c r="GV3" s="19"/>
      <c r="GW3" s="19"/>
      <c r="GX3" s="19"/>
      <c r="GY3" s="19"/>
      <c r="GZ3" s="19"/>
      <c r="HA3" s="19"/>
      <c r="HB3" s="19"/>
      <c r="HC3" s="17"/>
      <c r="HD3" s="19"/>
      <c r="HE3" s="19"/>
      <c r="HF3" s="19"/>
      <c r="HG3" s="19"/>
      <c r="HH3" s="19"/>
      <c r="HI3" s="19"/>
      <c r="HJ3" s="19"/>
      <c r="HK3" s="19"/>
      <c r="HL3" s="17"/>
      <c r="HM3" s="19"/>
      <c r="HN3" s="19"/>
      <c r="HO3" s="19"/>
      <c r="HP3" s="19"/>
      <c r="HQ3" s="19"/>
      <c r="HR3" s="19"/>
      <c r="HS3" s="19"/>
      <c r="HT3" s="19"/>
      <c r="HU3" s="17"/>
      <c r="HV3" s="19"/>
      <c r="HW3" s="19"/>
      <c r="HX3" s="19"/>
      <c r="HY3" s="19"/>
      <c r="HZ3" s="19"/>
      <c r="IA3" s="19"/>
      <c r="IB3" s="19"/>
      <c r="IC3" s="19"/>
    </row>
    <row r="4" spans="1:237" ht="27" customHeight="1">
      <c r="A4" s="8"/>
      <c r="B4" s="8"/>
      <c r="C4" s="8"/>
      <c r="D4" s="18" t="s">
        <v>3</v>
      </c>
      <c r="E4" s="18"/>
      <c r="F4" s="18"/>
      <c r="G4" s="18"/>
      <c r="H4" s="18"/>
      <c r="I4" s="18"/>
      <c r="J4" s="18"/>
      <c r="K4" s="18"/>
      <c r="L4" s="18"/>
      <c r="M4" s="18" t="s">
        <v>4</v>
      </c>
      <c r="N4" s="18"/>
      <c r="O4" s="18"/>
      <c r="P4" s="18"/>
      <c r="Q4" s="18"/>
      <c r="R4" s="18"/>
      <c r="S4" s="18"/>
      <c r="T4" s="18"/>
      <c r="U4" s="18"/>
      <c r="V4" s="18"/>
      <c r="W4" s="19"/>
      <c r="X4" s="19"/>
      <c r="Y4" s="19"/>
      <c r="Z4" s="19"/>
      <c r="AA4" s="19"/>
      <c r="AB4" s="19"/>
      <c r="AC4" s="19"/>
      <c r="AD4" s="19"/>
      <c r="AE4" s="18"/>
      <c r="AF4" s="19"/>
      <c r="AG4" s="19"/>
      <c r="AH4" s="19"/>
      <c r="AI4" s="19"/>
      <c r="AJ4" s="19"/>
      <c r="AK4" s="19"/>
      <c r="AL4" s="19"/>
      <c r="AM4" s="19"/>
      <c r="AN4" s="18"/>
      <c r="AO4" s="19"/>
      <c r="AP4" s="19"/>
      <c r="AQ4" s="19"/>
      <c r="AR4" s="19"/>
      <c r="AS4" s="19"/>
      <c r="AT4" s="19"/>
      <c r="AU4" s="19"/>
      <c r="AV4" s="19"/>
      <c r="AW4" s="18"/>
      <c r="AX4" s="19"/>
      <c r="AY4" s="19"/>
      <c r="AZ4" s="19"/>
      <c r="BA4" s="19"/>
      <c r="BB4" s="19"/>
      <c r="BC4" s="19"/>
      <c r="BD4" s="19"/>
      <c r="BE4" s="19"/>
      <c r="BF4" s="18"/>
      <c r="BG4" s="19"/>
      <c r="BH4" s="19"/>
      <c r="BI4" s="19"/>
      <c r="BJ4" s="19"/>
      <c r="BK4" s="19"/>
      <c r="BL4" s="19"/>
      <c r="BM4" s="19"/>
      <c r="BN4" s="19"/>
      <c r="BO4" s="18"/>
      <c r="BP4" s="19"/>
      <c r="BQ4" s="19"/>
      <c r="BR4" s="19"/>
      <c r="BS4" s="19"/>
      <c r="BT4" s="19"/>
      <c r="BU4" s="19"/>
      <c r="BV4" s="19"/>
      <c r="BW4" s="19"/>
      <c r="BX4" s="18"/>
      <c r="BY4" s="19"/>
      <c r="BZ4" s="19"/>
      <c r="CA4" s="19"/>
      <c r="CB4" s="19"/>
      <c r="CC4" s="19"/>
      <c r="CD4" s="19"/>
      <c r="CE4" s="19"/>
      <c r="CF4" s="19"/>
      <c r="CG4" s="18"/>
      <c r="CH4" s="19"/>
      <c r="CI4" s="19"/>
      <c r="CJ4" s="19"/>
      <c r="CK4" s="19"/>
      <c r="CL4" s="19"/>
      <c r="CM4" s="19"/>
      <c r="CN4" s="19"/>
      <c r="CO4" s="19"/>
      <c r="CP4" s="18"/>
      <c r="CQ4" s="19"/>
      <c r="CR4" s="19"/>
      <c r="CS4" s="19"/>
      <c r="CT4" s="19"/>
      <c r="CU4" s="19"/>
      <c r="CV4" s="19"/>
      <c r="CW4" s="19"/>
      <c r="CX4" s="19"/>
      <c r="CY4" s="18"/>
      <c r="CZ4" s="19"/>
      <c r="DA4" s="19"/>
      <c r="DB4" s="19"/>
      <c r="DC4" s="19"/>
      <c r="DD4" s="19"/>
      <c r="DE4" s="19"/>
      <c r="DF4" s="19"/>
      <c r="DG4" s="19"/>
      <c r="DH4" s="18"/>
      <c r="DI4" s="19"/>
      <c r="DJ4" s="19"/>
      <c r="DK4" s="19"/>
      <c r="DL4" s="19"/>
      <c r="DM4" s="19"/>
      <c r="DN4" s="19"/>
      <c r="DO4" s="19"/>
      <c r="DP4" s="19"/>
      <c r="DQ4" s="18"/>
      <c r="DR4" s="19"/>
      <c r="DS4" s="19"/>
      <c r="DT4" s="19"/>
      <c r="DU4" s="19"/>
      <c r="DV4" s="19"/>
      <c r="DW4" s="19"/>
      <c r="DX4" s="19"/>
      <c r="DY4" s="19"/>
      <c r="DZ4" s="18"/>
      <c r="EA4" s="19"/>
      <c r="EB4" s="19"/>
      <c r="EC4" s="19"/>
      <c r="ED4" s="19"/>
      <c r="EE4" s="19"/>
      <c r="EF4" s="19"/>
      <c r="EG4" s="19"/>
      <c r="EH4" s="19"/>
      <c r="EI4" s="18"/>
      <c r="EJ4" s="19"/>
      <c r="EK4" s="19"/>
      <c r="EL4" s="19"/>
      <c r="EM4" s="19"/>
      <c r="EN4" s="19"/>
      <c r="EO4" s="19"/>
      <c r="EP4" s="19"/>
      <c r="EQ4" s="19"/>
      <c r="ER4" s="18"/>
      <c r="ES4" s="19"/>
      <c r="ET4" s="19"/>
      <c r="EU4" s="19"/>
      <c r="EV4" s="19"/>
      <c r="EW4" s="19"/>
      <c r="EX4" s="19"/>
      <c r="EY4" s="19"/>
      <c r="EZ4" s="19"/>
      <c r="FA4" s="18"/>
      <c r="FB4" s="19"/>
      <c r="FC4" s="19"/>
      <c r="FD4" s="19"/>
      <c r="FE4" s="19"/>
      <c r="FF4" s="19"/>
      <c r="FG4" s="19"/>
      <c r="FH4" s="19"/>
      <c r="FI4" s="19"/>
      <c r="FJ4" s="18"/>
      <c r="FK4" s="19"/>
      <c r="FL4" s="19"/>
      <c r="FM4" s="19"/>
      <c r="FN4" s="19"/>
      <c r="FO4" s="19"/>
      <c r="FP4" s="19"/>
      <c r="FQ4" s="19"/>
      <c r="FR4" s="19"/>
      <c r="FS4" s="18"/>
      <c r="FT4" s="19"/>
      <c r="FU4" s="19"/>
      <c r="FV4" s="19"/>
      <c r="FW4" s="19"/>
      <c r="FX4" s="19"/>
      <c r="FY4" s="19"/>
      <c r="FZ4" s="19"/>
      <c r="GA4" s="19"/>
      <c r="GB4" s="18"/>
      <c r="GC4" s="19"/>
      <c r="GD4" s="19"/>
      <c r="GE4" s="19"/>
      <c r="GF4" s="19"/>
      <c r="GG4" s="19"/>
      <c r="GH4" s="19"/>
      <c r="GI4" s="19"/>
      <c r="GJ4" s="19"/>
      <c r="GK4" s="18"/>
      <c r="GL4" s="19"/>
      <c r="GM4" s="19"/>
      <c r="GN4" s="19"/>
      <c r="GO4" s="19"/>
      <c r="GP4" s="19"/>
      <c r="GQ4" s="19"/>
      <c r="GR4" s="19"/>
      <c r="GS4" s="19"/>
      <c r="GT4" s="18"/>
      <c r="GU4" s="19"/>
      <c r="GV4" s="19"/>
      <c r="GW4" s="19"/>
      <c r="GX4" s="19"/>
      <c r="GY4" s="19"/>
      <c r="GZ4" s="19"/>
      <c r="HA4" s="19"/>
      <c r="HB4" s="19"/>
      <c r="HC4" s="18"/>
      <c r="HD4" s="19"/>
      <c r="HE4" s="19"/>
      <c r="HF4" s="19"/>
      <c r="HG4" s="19"/>
      <c r="HH4" s="19"/>
      <c r="HI4" s="19"/>
      <c r="HJ4" s="19"/>
      <c r="HK4" s="19"/>
      <c r="HL4" s="18"/>
      <c r="HM4" s="19"/>
      <c r="HN4" s="19"/>
      <c r="HO4" s="19"/>
      <c r="HP4" s="19"/>
      <c r="HQ4" s="19"/>
      <c r="HR4" s="19"/>
      <c r="HS4" s="19"/>
      <c r="HT4" s="19"/>
      <c r="HU4" s="18"/>
      <c r="HV4" s="19"/>
      <c r="HW4" s="19"/>
      <c r="HX4" s="19"/>
      <c r="HY4" s="19"/>
      <c r="HZ4" s="19"/>
      <c r="IA4" s="19"/>
      <c r="IB4" s="19"/>
      <c r="IC4" s="19"/>
    </row>
    <row r="5" spans="1:237" ht="27" customHeight="1">
      <c r="A5" s="8"/>
      <c r="B5" s="11" t="s">
        <v>5</v>
      </c>
      <c r="C5" s="8"/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46</v>
      </c>
      <c r="S5" s="1" t="s">
        <v>47</v>
      </c>
      <c r="T5" s="1" t="s">
        <v>48</v>
      </c>
      <c r="U5" s="1" t="s">
        <v>49</v>
      </c>
    </row>
    <row r="6" spans="1:237" ht="16.5" customHeight="1">
      <c r="A6" s="15"/>
      <c r="B6" s="16" t="s">
        <v>7</v>
      </c>
      <c r="C6" s="2" t="s">
        <v>8</v>
      </c>
      <c r="D6" s="12">
        <v>919</v>
      </c>
      <c r="E6" s="12">
        <v>906</v>
      </c>
      <c r="F6" s="12">
        <v>863</v>
      </c>
      <c r="G6" s="12">
        <v>883</v>
      </c>
      <c r="H6" s="12">
        <v>1282</v>
      </c>
      <c r="I6" s="12">
        <v>1109</v>
      </c>
      <c r="J6" s="12">
        <v>1101</v>
      </c>
      <c r="K6" s="12">
        <v>1014</v>
      </c>
      <c r="L6" s="12">
        <v>963</v>
      </c>
      <c r="M6" s="12">
        <v>1712</v>
      </c>
      <c r="N6" s="12">
        <v>1669</v>
      </c>
      <c r="O6" s="12">
        <v>1642</v>
      </c>
      <c r="P6" s="12">
        <v>1639</v>
      </c>
      <c r="Q6" s="12">
        <v>2440</v>
      </c>
      <c r="R6" s="12">
        <v>1979</v>
      </c>
      <c r="S6" s="12">
        <v>2171</v>
      </c>
      <c r="T6" s="12">
        <v>2214</v>
      </c>
      <c r="U6" s="12">
        <v>2068</v>
      </c>
    </row>
    <row r="7" spans="1:237" ht="16.5" customHeight="1">
      <c r="A7" s="15"/>
      <c r="B7" s="16"/>
      <c r="C7" s="2" t="s">
        <v>9</v>
      </c>
      <c r="D7" s="13">
        <v>100</v>
      </c>
      <c r="E7" s="13">
        <v>100</v>
      </c>
      <c r="F7" s="13">
        <v>100</v>
      </c>
      <c r="G7" s="13">
        <v>100</v>
      </c>
      <c r="H7" s="13">
        <v>100</v>
      </c>
      <c r="I7" s="13">
        <v>100</v>
      </c>
      <c r="J7" s="13">
        <v>100</v>
      </c>
      <c r="K7" s="13">
        <v>100</v>
      </c>
      <c r="L7" s="13">
        <v>100</v>
      </c>
      <c r="M7" s="13">
        <v>100</v>
      </c>
      <c r="N7" s="13">
        <v>100</v>
      </c>
      <c r="O7" s="13">
        <v>100</v>
      </c>
      <c r="P7" s="13">
        <v>100</v>
      </c>
      <c r="Q7" s="13">
        <v>100</v>
      </c>
      <c r="R7" s="13">
        <v>100</v>
      </c>
      <c r="S7" s="13">
        <v>100</v>
      </c>
      <c r="T7" s="13">
        <v>100</v>
      </c>
      <c r="U7" s="13">
        <v>100</v>
      </c>
    </row>
    <row r="8" spans="1:237" ht="16.5" customHeight="1">
      <c r="A8" s="15" t="s">
        <v>10</v>
      </c>
      <c r="B8" s="16" t="s">
        <v>11</v>
      </c>
      <c r="C8" s="2" t="s">
        <v>8</v>
      </c>
      <c r="D8" s="12">
        <v>634</v>
      </c>
      <c r="E8" s="12">
        <v>632</v>
      </c>
      <c r="F8" s="12">
        <v>595</v>
      </c>
      <c r="G8" s="12">
        <v>585</v>
      </c>
      <c r="H8" s="12">
        <v>740</v>
      </c>
      <c r="I8" s="12">
        <v>691</v>
      </c>
      <c r="J8" s="12">
        <v>694</v>
      </c>
      <c r="K8" s="12">
        <v>612</v>
      </c>
      <c r="L8" s="12">
        <v>614</v>
      </c>
      <c r="M8" s="12">
        <v>1229</v>
      </c>
      <c r="N8" s="12">
        <v>1199</v>
      </c>
      <c r="O8" s="12">
        <v>1168</v>
      </c>
      <c r="P8" s="12">
        <v>1160</v>
      </c>
      <c r="Q8" s="12">
        <v>1469</v>
      </c>
      <c r="R8" s="12">
        <v>1221</v>
      </c>
      <c r="S8" s="12">
        <v>1381</v>
      </c>
      <c r="T8" s="12">
        <v>1417</v>
      </c>
      <c r="U8" s="12">
        <v>1357</v>
      </c>
    </row>
    <row r="9" spans="1:237" ht="16.5" customHeight="1">
      <c r="A9" s="15"/>
      <c r="B9" s="16"/>
      <c r="C9" s="2" t="s">
        <v>9</v>
      </c>
      <c r="D9" s="13">
        <v>68.989997863769503</v>
      </c>
      <c r="E9" s="13">
        <v>69.760002136230497</v>
      </c>
      <c r="F9" s="13">
        <v>68.949996948242202</v>
      </c>
      <c r="G9" s="13">
        <v>66.25</v>
      </c>
      <c r="H9" s="13">
        <v>57.720001220703097</v>
      </c>
      <c r="I9" s="13">
        <v>62.310001373291001</v>
      </c>
      <c r="J9" s="13">
        <v>63.029998779296903</v>
      </c>
      <c r="K9" s="13">
        <v>60.360000610351598</v>
      </c>
      <c r="L9" s="13">
        <v>63.759998321533203</v>
      </c>
      <c r="M9" s="13">
        <v>71.790000915527301</v>
      </c>
      <c r="N9" s="13">
        <v>71.839996337890597</v>
      </c>
      <c r="O9" s="13">
        <v>71.129997253417997</v>
      </c>
      <c r="P9" s="13">
        <v>70.769996643066406</v>
      </c>
      <c r="Q9" s="13">
        <v>60.200000762939503</v>
      </c>
      <c r="R9" s="13">
        <v>61.700000762939503</v>
      </c>
      <c r="S9" s="13">
        <v>63.610000610351598</v>
      </c>
      <c r="T9" s="13">
        <v>64</v>
      </c>
      <c r="U9" s="13">
        <v>65.620002746582003</v>
      </c>
    </row>
    <row r="10" spans="1:237" ht="16.5" customHeight="1">
      <c r="A10" s="15" t="s">
        <v>12</v>
      </c>
      <c r="B10" s="16" t="s">
        <v>11</v>
      </c>
      <c r="C10" s="2" t="s">
        <v>8</v>
      </c>
      <c r="D10" s="12">
        <v>75</v>
      </c>
      <c r="E10" s="12">
        <v>75</v>
      </c>
      <c r="F10" s="12">
        <v>72</v>
      </c>
      <c r="G10" s="12">
        <v>70</v>
      </c>
      <c r="H10" s="12">
        <v>191</v>
      </c>
      <c r="I10" s="12">
        <v>78</v>
      </c>
      <c r="J10" s="12">
        <v>83</v>
      </c>
      <c r="K10" s="12">
        <v>75</v>
      </c>
      <c r="L10" s="12">
        <v>87</v>
      </c>
      <c r="M10" s="12">
        <v>135</v>
      </c>
      <c r="N10" s="12">
        <v>139</v>
      </c>
      <c r="O10" s="12">
        <v>148</v>
      </c>
      <c r="P10" s="12">
        <v>132</v>
      </c>
      <c r="Q10" s="12">
        <v>327</v>
      </c>
      <c r="R10" s="12">
        <v>214</v>
      </c>
      <c r="S10" s="12">
        <v>246</v>
      </c>
      <c r="T10" s="12">
        <v>242</v>
      </c>
      <c r="U10" s="12">
        <v>215</v>
      </c>
    </row>
    <row r="11" spans="1:237" ht="16.5" customHeight="1">
      <c r="A11" s="15"/>
      <c r="B11" s="16"/>
      <c r="C11" s="2" t="s">
        <v>9</v>
      </c>
      <c r="D11" s="13">
        <v>8.1599998474121094</v>
      </c>
      <c r="E11" s="13">
        <v>8.2799997329711896</v>
      </c>
      <c r="F11" s="13">
        <v>8.3400001525878906</v>
      </c>
      <c r="G11" s="13">
        <v>7.9299998283386204</v>
      </c>
      <c r="H11" s="13">
        <v>14.8999996185303</v>
      </c>
      <c r="I11" s="13">
        <v>7.0300002098083496</v>
      </c>
      <c r="J11" s="13">
        <v>7.53999996185303</v>
      </c>
      <c r="K11" s="13">
        <v>7.4000000953674299</v>
      </c>
      <c r="L11" s="13">
        <v>9.0299997329711896</v>
      </c>
      <c r="M11" s="13">
        <v>7.8899998664856001</v>
      </c>
      <c r="N11" s="13">
        <v>8.3299999237060494</v>
      </c>
      <c r="O11" s="13">
        <v>9.0100002288818395</v>
      </c>
      <c r="P11" s="13">
        <v>8.0500001907348597</v>
      </c>
      <c r="Q11" s="13">
        <v>13.3999996185303</v>
      </c>
      <c r="R11" s="13">
        <v>10.810000419616699</v>
      </c>
      <c r="S11" s="13">
        <v>11.329999923706101</v>
      </c>
      <c r="T11" s="13">
        <v>10.930000305175801</v>
      </c>
      <c r="U11" s="13">
        <v>10.3999996185303</v>
      </c>
    </row>
    <row r="12" spans="1:237" ht="16.5" customHeight="1">
      <c r="A12" s="15" t="s">
        <v>13</v>
      </c>
      <c r="B12" s="16" t="s">
        <v>14</v>
      </c>
      <c r="C12" s="2" t="s">
        <v>8</v>
      </c>
      <c r="D12" s="12">
        <v>674</v>
      </c>
      <c r="E12" s="12">
        <v>662</v>
      </c>
      <c r="F12" s="12">
        <v>619</v>
      </c>
      <c r="G12" s="12">
        <v>646</v>
      </c>
      <c r="H12" s="12">
        <v>881</v>
      </c>
      <c r="I12" s="12">
        <v>806</v>
      </c>
      <c r="J12" s="12">
        <v>828</v>
      </c>
      <c r="K12" s="12">
        <v>736</v>
      </c>
      <c r="L12" s="12">
        <v>742</v>
      </c>
      <c r="M12" s="12">
        <v>1295</v>
      </c>
      <c r="N12" s="12">
        <v>1274</v>
      </c>
      <c r="O12" s="12">
        <v>1250</v>
      </c>
      <c r="P12" s="12">
        <v>1267</v>
      </c>
      <c r="Q12" s="12">
        <v>1773</v>
      </c>
      <c r="R12" s="12">
        <v>1448</v>
      </c>
      <c r="S12" s="12">
        <v>1629</v>
      </c>
      <c r="T12" s="12">
        <v>1632</v>
      </c>
      <c r="U12" s="12">
        <v>1563</v>
      </c>
    </row>
    <row r="13" spans="1:237" ht="16.5" customHeight="1">
      <c r="A13" s="15"/>
      <c r="B13" s="16"/>
      <c r="C13" s="2" t="s">
        <v>9</v>
      </c>
      <c r="D13" s="13">
        <v>73.339996337890597</v>
      </c>
      <c r="E13" s="13">
        <v>73.069999694824205</v>
      </c>
      <c r="F13" s="13">
        <v>71.730003356933594</v>
      </c>
      <c r="G13" s="13">
        <v>73.160003662109403</v>
      </c>
      <c r="H13" s="13">
        <v>68.720001220703097</v>
      </c>
      <c r="I13" s="13">
        <v>72.680000305175795</v>
      </c>
      <c r="J13" s="13">
        <v>75.199996948242202</v>
      </c>
      <c r="K13" s="13">
        <v>72.580001831054702</v>
      </c>
      <c r="L13" s="13">
        <v>77.050003051757798</v>
      </c>
      <c r="M13" s="13">
        <v>75.639999389648395</v>
      </c>
      <c r="N13" s="13">
        <v>76.330001831054702</v>
      </c>
      <c r="O13" s="13">
        <v>76.129997253417997</v>
      </c>
      <c r="P13" s="13">
        <v>77.300003051757798</v>
      </c>
      <c r="Q13" s="13">
        <v>72.660003662109403</v>
      </c>
      <c r="R13" s="13">
        <v>73.169998168945298</v>
      </c>
      <c r="S13" s="13">
        <v>75.029998779296903</v>
      </c>
      <c r="T13" s="13">
        <v>73.709999084472699</v>
      </c>
      <c r="U13" s="13">
        <v>75.580001831054702</v>
      </c>
    </row>
    <row r="14" spans="1:237" ht="16.5" customHeight="1">
      <c r="A14" s="15" t="s">
        <v>13</v>
      </c>
      <c r="B14" s="16" t="s">
        <v>15</v>
      </c>
      <c r="C14" s="2" t="s">
        <v>8</v>
      </c>
      <c r="D14" s="12">
        <v>663</v>
      </c>
      <c r="E14" s="12">
        <v>645</v>
      </c>
      <c r="F14" s="12">
        <v>613</v>
      </c>
      <c r="G14" s="12">
        <v>625</v>
      </c>
      <c r="H14" s="12">
        <v>958</v>
      </c>
      <c r="I14" s="12">
        <v>832</v>
      </c>
      <c r="J14" s="12">
        <v>802</v>
      </c>
      <c r="K14" s="12">
        <v>741</v>
      </c>
      <c r="L14" s="12">
        <v>699</v>
      </c>
      <c r="M14" s="12">
        <v>1282</v>
      </c>
      <c r="N14" s="12">
        <v>1251</v>
      </c>
      <c r="O14" s="12">
        <v>1237</v>
      </c>
      <c r="P14" s="12">
        <v>1256</v>
      </c>
      <c r="Q14" s="12">
        <v>1873</v>
      </c>
      <c r="R14" s="12">
        <v>1471</v>
      </c>
      <c r="S14" s="12">
        <v>1618</v>
      </c>
      <c r="T14" s="12">
        <v>1629</v>
      </c>
      <c r="U14" s="12">
        <v>1544</v>
      </c>
    </row>
    <row r="15" spans="1:237" ht="16.5" customHeight="1">
      <c r="A15" s="15"/>
      <c r="B15" s="16"/>
      <c r="C15" s="2" t="s">
        <v>9</v>
      </c>
      <c r="D15" s="13">
        <v>72.139999389648395</v>
      </c>
      <c r="E15" s="13">
        <v>71.190002441406193</v>
      </c>
      <c r="F15" s="13">
        <v>71.029998779296903</v>
      </c>
      <c r="G15" s="13">
        <v>70.779998779296903</v>
      </c>
      <c r="H15" s="13">
        <v>74.730003356933594</v>
      </c>
      <c r="I15" s="13">
        <v>75.019996643066406</v>
      </c>
      <c r="J15" s="13">
        <v>72.839996337890597</v>
      </c>
      <c r="K15" s="13">
        <v>73.080001831054702</v>
      </c>
      <c r="L15" s="13">
        <v>72.589996337890597</v>
      </c>
      <c r="M15" s="13">
        <v>74.879997253417997</v>
      </c>
      <c r="N15" s="13">
        <v>74.959999084472699</v>
      </c>
      <c r="O15" s="13">
        <v>75.330001831054702</v>
      </c>
      <c r="P15" s="13">
        <v>76.629997253417997</v>
      </c>
      <c r="Q15" s="13">
        <v>76.760002136230497</v>
      </c>
      <c r="R15" s="13">
        <v>74.330001831054702</v>
      </c>
      <c r="S15" s="13">
        <v>74.529998779296903</v>
      </c>
      <c r="T15" s="13">
        <v>73.580001831054702</v>
      </c>
      <c r="U15" s="13">
        <v>74.660003662109403</v>
      </c>
    </row>
    <row r="16" spans="1:237" ht="16.5" customHeight="1">
      <c r="A16" s="15" t="s">
        <v>13</v>
      </c>
      <c r="B16" s="16" t="s">
        <v>16</v>
      </c>
      <c r="C16" s="2" t="s">
        <v>8</v>
      </c>
      <c r="D16" s="12">
        <v>363</v>
      </c>
      <c r="E16" s="12">
        <v>365</v>
      </c>
      <c r="F16" s="12">
        <v>336</v>
      </c>
      <c r="G16" s="12">
        <v>349</v>
      </c>
      <c r="H16" s="12">
        <v>549</v>
      </c>
      <c r="I16" s="12">
        <v>427</v>
      </c>
      <c r="J16" s="12">
        <v>409</v>
      </c>
      <c r="K16" s="12">
        <v>375</v>
      </c>
      <c r="L16" s="12">
        <v>350</v>
      </c>
      <c r="M16" s="12">
        <v>595</v>
      </c>
      <c r="N16" s="12">
        <v>600</v>
      </c>
      <c r="O16" s="12">
        <v>604</v>
      </c>
      <c r="P16" s="12">
        <v>604</v>
      </c>
      <c r="Q16" s="12">
        <v>968</v>
      </c>
      <c r="R16" s="12">
        <v>792</v>
      </c>
      <c r="S16" s="12">
        <v>841</v>
      </c>
      <c r="T16" s="12">
        <v>854</v>
      </c>
      <c r="U16" s="12">
        <v>769</v>
      </c>
    </row>
    <row r="17" spans="1:21" ht="16.5" customHeight="1">
      <c r="A17" s="15"/>
      <c r="B17" s="16"/>
      <c r="C17" s="2" t="s">
        <v>9</v>
      </c>
      <c r="D17" s="13">
        <v>39.5</v>
      </c>
      <c r="E17" s="13">
        <v>40.290000915527301</v>
      </c>
      <c r="F17" s="13">
        <v>38.930000305175803</v>
      </c>
      <c r="G17" s="13">
        <v>39.5200004577637</v>
      </c>
      <c r="H17" s="13">
        <v>42.819999694824197</v>
      </c>
      <c r="I17" s="13">
        <v>38.5</v>
      </c>
      <c r="J17" s="13">
        <v>37.150001525878899</v>
      </c>
      <c r="K17" s="13">
        <v>36.9799995422363</v>
      </c>
      <c r="L17" s="13">
        <v>36.340000152587898</v>
      </c>
      <c r="M17" s="13">
        <v>34.75</v>
      </c>
      <c r="N17" s="13">
        <v>35.950000762939503</v>
      </c>
      <c r="O17" s="13">
        <v>36.779998779296903</v>
      </c>
      <c r="P17" s="13">
        <v>36.849998474121101</v>
      </c>
      <c r="Q17" s="13">
        <v>39.669998168945298</v>
      </c>
      <c r="R17" s="13">
        <v>40.0200004577637</v>
      </c>
      <c r="S17" s="13">
        <v>38.740001678466797</v>
      </c>
      <c r="T17" s="13">
        <v>38.569999694824197</v>
      </c>
      <c r="U17" s="13">
        <v>37.189998626708999</v>
      </c>
    </row>
    <row r="18" spans="1:21" ht="16.5" customHeight="1">
      <c r="A18" s="15" t="s">
        <v>13</v>
      </c>
      <c r="B18" s="16" t="s">
        <v>17</v>
      </c>
      <c r="C18" s="2" t="s">
        <v>8</v>
      </c>
      <c r="D18" s="12">
        <v>616</v>
      </c>
      <c r="E18" s="12">
        <v>595</v>
      </c>
      <c r="F18" s="12">
        <v>561</v>
      </c>
      <c r="G18" s="12">
        <v>573</v>
      </c>
      <c r="H18" s="12">
        <v>737</v>
      </c>
      <c r="I18" s="12">
        <v>702</v>
      </c>
      <c r="J18" s="12">
        <v>687</v>
      </c>
      <c r="K18" s="12">
        <v>641</v>
      </c>
      <c r="L18" s="12">
        <v>603</v>
      </c>
      <c r="M18" s="12">
        <v>1124</v>
      </c>
      <c r="N18" s="12">
        <v>1064</v>
      </c>
      <c r="O18" s="12">
        <v>1051</v>
      </c>
      <c r="P18" s="12">
        <v>1078</v>
      </c>
      <c r="Q18" s="12">
        <v>1570</v>
      </c>
      <c r="R18" s="12">
        <v>1276</v>
      </c>
      <c r="S18" s="12">
        <v>1384</v>
      </c>
      <c r="T18" s="12">
        <v>1386</v>
      </c>
      <c r="U18" s="12">
        <v>1322</v>
      </c>
    </row>
    <row r="19" spans="1:21" ht="16.5" customHeight="1">
      <c r="A19" s="15"/>
      <c r="B19" s="16"/>
      <c r="C19" s="2" t="s">
        <v>9</v>
      </c>
      <c r="D19" s="13">
        <v>67.029998779296903</v>
      </c>
      <c r="E19" s="13">
        <v>65.669998168945298</v>
      </c>
      <c r="F19" s="13">
        <v>65.010002136230497</v>
      </c>
      <c r="G19" s="13">
        <v>64.889999389648395</v>
      </c>
      <c r="H19" s="13">
        <v>57.490001678466797</v>
      </c>
      <c r="I19" s="13">
        <v>63.299999237060497</v>
      </c>
      <c r="J19" s="13">
        <v>62.400001525878899</v>
      </c>
      <c r="K19" s="13">
        <v>63.209999084472699</v>
      </c>
      <c r="L19" s="13">
        <v>62.619998931884801</v>
      </c>
      <c r="M19" s="13">
        <v>65.650001525878906</v>
      </c>
      <c r="N19" s="13">
        <v>63.75</v>
      </c>
      <c r="O19" s="13">
        <v>64.010002136230497</v>
      </c>
      <c r="P19" s="13">
        <v>65.769996643066406</v>
      </c>
      <c r="Q19" s="13">
        <v>64.339996337890597</v>
      </c>
      <c r="R19" s="13">
        <v>64.480003356933594</v>
      </c>
      <c r="S19" s="13">
        <v>63.75</v>
      </c>
      <c r="T19" s="13">
        <v>62.599998474121101</v>
      </c>
      <c r="U19" s="13">
        <v>63.930000305175803</v>
      </c>
    </row>
    <row r="20" spans="1:21" ht="16.5" customHeight="1">
      <c r="A20" s="15" t="s">
        <v>13</v>
      </c>
      <c r="B20" s="16" t="s">
        <v>18</v>
      </c>
      <c r="C20" s="2" t="s">
        <v>8</v>
      </c>
      <c r="D20" s="12">
        <v>623</v>
      </c>
      <c r="E20" s="12">
        <v>613</v>
      </c>
      <c r="F20" s="12">
        <v>566</v>
      </c>
      <c r="G20" s="12">
        <v>589</v>
      </c>
      <c r="H20" s="12">
        <v>798</v>
      </c>
      <c r="I20" s="12">
        <v>800</v>
      </c>
      <c r="J20" s="12">
        <v>778</v>
      </c>
      <c r="K20" s="12">
        <v>724</v>
      </c>
      <c r="L20" s="12">
        <v>702</v>
      </c>
      <c r="M20" s="12">
        <v>1179</v>
      </c>
      <c r="N20" s="12">
        <v>1128</v>
      </c>
      <c r="O20" s="12">
        <v>1096</v>
      </c>
      <c r="P20" s="12">
        <v>1098</v>
      </c>
      <c r="Q20" s="12">
        <v>1609</v>
      </c>
      <c r="R20" s="12">
        <v>1371</v>
      </c>
      <c r="S20" s="12">
        <v>1498</v>
      </c>
      <c r="T20" s="12">
        <v>1527</v>
      </c>
      <c r="U20" s="12">
        <v>1465</v>
      </c>
    </row>
    <row r="21" spans="1:21" ht="16.5" customHeight="1">
      <c r="A21" s="15"/>
      <c r="B21" s="16"/>
      <c r="C21" s="2" t="s">
        <v>9</v>
      </c>
      <c r="D21" s="13">
        <v>67.790000915527301</v>
      </c>
      <c r="E21" s="13">
        <v>67.660003662109403</v>
      </c>
      <c r="F21" s="13">
        <v>65.589996337890597</v>
      </c>
      <c r="G21" s="13">
        <v>66.699996948242202</v>
      </c>
      <c r="H21" s="13">
        <v>62.25</v>
      </c>
      <c r="I21" s="13">
        <v>72.139999389648395</v>
      </c>
      <c r="J21" s="13">
        <v>70.660003662109403</v>
      </c>
      <c r="K21" s="13">
        <v>71.400001525878906</v>
      </c>
      <c r="L21" s="13">
        <v>72.900001525878906</v>
      </c>
      <c r="M21" s="13">
        <v>68.870002746582003</v>
      </c>
      <c r="N21" s="13">
        <v>67.589996337890597</v>
      </c>
      <c r="O21" s="13">
        <v>66.75</v>
      </c>
      <c r="P21" s="13">
        <v>66.989997863769503</v>
      </c>
      <c r="Q21" s="13">
        <v>65.940002441406193</v>
      </c>
      <c r="R21" s="13">
        <v>69.279998779296903</v>
      </c>
      <c r="S21" s="13">
        <v>69</v>
      </c>
      <c r="T21" s="13">
        <v>68.970001220703097</v>
      </c>
      <c r="U21" s="13">
        <v>70.839996337890597</v>
      </c>
    </row>
    <row r="22" spans="1:21" ht="16.5" customHeight="1">
      <c r="A22" s="15" t="s">
        <v>19</v>
      </c>
      <c r="B22" s="16" t="s">
        <v>14</v>
      </c>
      <c r="C22" s="2" t="s">
        <v>8</v>
      </c>
      <c r="D22" s="12">
        <v>28</v>
      </c>
      <c r="E22" s="12">
        <v>29</v>
      </c>
      <c r="F22" s="12">
        <v>32</v>
      </c>
      <c r="G22" s="12">
        <v>33</v>
      </c>
      <c r="H22" s="12">
        <v>89</v>
      </c>
      <c r="I22" s="12">
        <v>40</v>
      </c>
      <c r="J22" s="12">
        <v>33</v>
      </c>
      <c r="K22" s="12">
        <v>31</v>
      </c>
      <c r="L22" s="12">
        <v>27</v>
      </c>
      <c r="M22" s="12">
        <v>79</v>
      </c>
      <c r="N22" s="12">
        <v>83</v>
      </c>
      <c r="O22" s="12">
        <v>80</v>
      </c>
      <c r="P22" s="12">
        <v>72</v>
      </c>
      <c r="Q22" s="12">
        <v>119</v>
      </c>
      <c r="R22" s="12">
        <v>71</v>
      </c>
      <c r="S22" s="12">
        <v>84</v>
      </c>
      <c r="T22" s="12">
        <v>121</v>
      </c>
      <c r="U22" s="12">
        <v>116</v>
      </c>
    </row>
    <row r="23" spans="1:21" ht="16.5" customHeight="1">
      <c r="A23" s="15"/>
      <c r="B23" s="16"/>
      <c r="C23" s="2" t="s">
        <v>9</v>
      </c>
      <c r="D23" s="13">
        <v>3.0499999523162802</v>
      </c>
      <c r="E23" s="13">
        <v>3.2000000476837198</v>
      </c>
      <c r="F23" s="13">
        <v>3.71000003814697</v>
      </c>
      <c r="G23" s="13">
        <v>3.7400000095367401</v>
      </c>
      <c r="H23" s="13">
        <v>6.9400000572204599</v>
      </c>
      <c r="I23" s="13">
        <v>3.6099998950958301</v>
      </c>
      <c r="J23" s="13">
        <v>3</v>
      </c>
      <c r="K23" s="13">
        <v>3.0599999427795401</v>
      </c>
      <c r="L23" s="13">
        <v>2.7999999523162802</v>
      </c>
      <c r="M23" s="13">
        <v>4.6100001335143999</v>
      </c>
      <c r="N23" s="13">
        <v>4.9699997901916504</v>
      </c>
      <c r="O23" s="13">
        <v>4.8699998855590803</v>
      </c>
      <c r="P23" s="13">
        <v>4.3899998664856001</v>
      </c>
      <c r="Q23" s="13">
        <v>4.8800001144409197</v>
      </c>
      <c r="R23" s="13">
        <v>3.5899999141693102</v>
      </c>
      <c r="S23" s="13">
        <v>3.8699998855590798</v>
      </c>
      <c r="T23" s="13">
        <v>5.4699997901916504</v>
      </c>
      <c r="U23" s="13">
        <v>5.6100001335143999</v>
      </c>
    </row>
    <row r="24" spans="1:21" ht="16.5" customHeight="1">
      <c r="A24" s="15" t="s">
        <v>19</v>
      </c>
      <c r="B24" s="16" t="s">
        <v>15</v>
      </c>
      <c r="C24" s="2" t="s">
        <v>8</v>
      </c>
      <c r="D24" s="12">
        <v>50</v>
      </c>
      <c r="E24" s="12">
        <v>51</v>
      </c>
      <c r="F24" s="12">
        <v>50</v>
      </c>
      <c r="G24" s="12">
        <v>47</v>
      </c>
      <c r="H24" s="12">
        <v>58</v>
      </c>
      <c r="I24" s="12">
        <v>68</v>
      </c>
      <c r="J24" s="12">
        <v>70</v>
      </c>
      <c r="K24" s="12">
        <v>57</v>
      </c>
      <c r="L24" s="12">
        <v>44</v>
      </c>
      <c r="M24" s="12">
        <v>90</v>
      </c>
      <c r="N24" s="12">
        <v>88</v>
      </c>
      <c r="O24" s="12">
        <v>89</v>
      </c>
      <c r="P24" s="12">
        <v>74</v>
      </c>
      <c r="Q24" s="12">
        <v>123</v>
      </c>
      <c r="R24" s="12">
        <v>110</v>
      </c>
      <c r="S24" s="12">
        <v>109</v>
      </c>
      <c r="T24" s="12">
        <v>132</v>
      </c>
      <c r="U24" s="12">
        <v>86</v>
      </c>
    </row>
    <row r="25" spans="1:21" ht="16.5" customHeight="1">
      <c r="A25" s="15"/>
      <c r="B25" s="16"/>
      <c r="C25" s="2" t="s">
        <v>9</v>
      </c>
      <c r="D25" s="13">
        <v>5.4400000572204599</v>
      </c>
      <c r="E25" s="13">
        <v>5.6300001144409197</v>
      </c>
      <c r="F25" s="13">
        <v>5.78999996185303</v>
      </c>
      <c r="G25" s="13">
        <v>5.3200001716613796</v>
      </c>
      <c r="H25" s="13">
        <v>4.5199999809265101</v>
      </c>
      <c r="I25" s="13">
        <v>6.1300001144409197</v>
      </c>
      <c r="J25" s="13">
        <v>6.3600001335143999</v>
      </c>
      <c r="K25" s="13">
        <v>5.6199998855590803</v>
      </c>
      <c r="L25" s="13">
        <v>4.5700001716613796</v>
      </c>
      <c r="M25" s="13">
        <v>5.2600002288818404</v>
      </c>
      <c r="N25" s="13">
        <v>5.2699999809265101</v>
      </c>
      <c r="O25" s="13">
        <v>5.4200000762939498</v>
      </c>
      <c r="P25" s="13">
        <v>4.5100002288818404</v>
      </c>
      <c r="Q25" s="13">
        <v>5.03999996185303</v>
      </c>
      <c r="R25" s="13">
        <v>5.5599999427795401</v>
      </c>
      <c r="S25" s="13">
        <v>5.0199999809265101</v>
      </c>
      <c r="T25" s="13">
        <v>5.96000003814697</v>
      </c>
      <c r="U25" s="13">
        <v>4.1599998474121103</v>
      </c>
    </row>
    <row r="26" spans="1:21" ht="16.5" customHeight="1">
      <c r="A26" s="15" t="s">
        <v>19</v>
      </c>
      <c r="B26" s="16" t="s">
        <v>16</v>
      </c>
      <c r="C26" s="2" t="s">
        <v>8</v>
      </c>
      <c r="D26" s="12">
        <v>275</v>
      </c>
      <c r="E26" s="12">
        <v>264</v>
      </c>
      <c r="F26" s="12">
        <v>254</v>
      </c>
      <c r="G26" s="12">
        <v>265</v>
      </c>
      <c r="H26" s="12">
        <v>377</v>
      </c>
      <c r="I26" s="12">
        <v>332</v>
      </c>
      <c r="J26" s="12">
        <v>331</v>
      </c>
      <c r="K26" s="12">
        <v>284</v>
      </c>
      <c r="L26" s="12">
        <v>310</v>
      </c>
      <c r="M26" s="12">
        <v>559</v>
      </c>
      <c r="N26" s="12">
        <v>520</v>
      </c>
      <c r="O26" s="12">
        <v>501</v>
      </c>
      <c r="P26" s="12">
        <v>522</v>
      </c>
      <c r="Q26" s="12">
        <v>748</v>
      </c>
      <c r="R26" s="12">
        <v>605</v>
      </c>
      <c r="S26" s="12">
        <v>673</v>
      </c>
      <c r="T26" s="12">
        <v>737</v>
      </c>
      <c r="U26" s="12">
        <v>731</v>
      </c>
    </row>
    <row r="27" spans="1:21" ht="16.5" customHeight="1">
      <c r="A27" s="15"/>
      <c r="B27" s="16"/>
      <c r="C27" s="2" t="s">
        <v>9</v>
      </c>
      <c r="D27" s="13">
        <v>29.920000076293899</v>
      </c>
      <c r="E27" s="13">
        <v>29.139999389648398</v>
      </c>
      <c r="F27" s="13">
        <v>29.430000305175799</v>
      </c>
      <c r="G27" s="13">
        <v>30.0100002288818</v>
      </c>
      <c r="H27" s="13">
        <v>29.409999847412099</v>
      </c>
      <c r="I27" s="13">
        <v>29.940000534057599</v>
      </c>
      <c r="J27" s="13">
        <v>30.059999465942401</v>
      </c>
      <c r="K27" s="13">
        <v>28.0100002288818</v>
      </c>
      <c r="L27" s="13">
        <v>32.189998626708999</v>
      </c>
      <c r="M27" s="13">
        <v>32.650001525878899</v>
      </c>
      <c r="N27" s="13">
        <v>31.159999847412099</v>
      </c>
      <c r="O27" s="13">
        <v>30.5100002288818</v>
      </c>
      <c r="P27" s="13">
        <v>31.850000381469702</v>
      </c>
      <c r="Q27" s="13">
        <v>30.659999847412099</v>
      </c>
      <c r="R27" s="13">
        <v>30.569999694824201</v>
      </c>
      <c r="S27" s="13">
        <v>31</v>
      </c>
      <c r="T27" s="13">
        <v>33.290000915527301</v>
      </c>
      <c r="U27" s="13">
        <v>35.349998474121101</v>
      </c>
    </row>
    <row r="28" spans="1:21" ht="16.5" customHeight="1">
      <c r="A28" s="15" t="s">
        <v>19</v>
      </c>
      <c r="B28" s="16" t="s">
        <v>17</v>
      </c>
      <c r="C28" s="2" t="s">
        <v>8</v>
      </c>
      <c r="D28" s="12">
        <v>87</v>
      </c>
      <c r="E28" s="12">
        <v>91</v>
      </c>
      <c r="F28" s="12">
        <v>78</v>
      </c>
      <c r="G28" s="12">
        <v>83</v>
      </c>
      <c r="H28" s="12">
        <v>159</v>
      </c>
      <c r="I28" s="12">
        <v>115</v>
      </c>
      <c r="J28" s="12">
        <v>117</v>
      </c>
      <c r="K28" s="12">
        <v>89</v>
      </c>
      <c r="L28" s="12">
        <v>98</v>
      </c>
      <c r="M28" s="12">
        <v>180</v>
      </c>
      <c r="N28" s="12">
        <v>192</v>
      </c>
      <c r="O28" s="12">
        <v>173</v>
      </c>
      <c r="P28" s="12">
        <v>150</v>
      </c>
      <c r="Q28" s="12">
        <v>300</v>
      </c>
      <c r="R28" s="12">
        <v>196</v>
      </c>
      <c r="S28" s="12">
        <v>209</v>
      </c>
      <c r="T28" s="12">
        <v>252</v>
      </c>
      <c r="U28" s="12">
        <v>245</v>
      </c>
    </row>
    <row r="29" spans="1:21" ht="16.5" customHeight="1">
      <c r="A29" s="15"/>
      <c r="B29" s="16"/>
      <c r="C29" s="2" t="s">
        <v>9</v>
      </c>
      <c r="D29" s="13">
        <v>9.4700002670288104</v>
      </c>
      <c r="E29" s="13">
        <v>10.039999961853001</v>
      </c>
      <c r="F29" s="13">
        <v>9.0399999618530291</v>
      </c>
      <c r="G29" s="13">
        <v>9.3999996185302699</v>
      </c>
      <c r="H29" s="13">
        <v>12.3999996185303</v>
      </c>
      <c r="I29" s="13">
        <v>10.3699998855591</v>
      </c>
      <c r="J29" s="13">
        <v>10.6300001144409</v>
      </c>
      <c r="K29" s="13">
        <v>8.7799997329711896</v>
      </c>
      <c r="L29" s="13">
        <v>10.180000305175801</v>
      </c>
      <c r="M29" s="13">
        <v>10.5100002288818</v>
      </c>
      <c r="N29" s="13">
        <v>11.5</v>
      </c>
      <c r="O29" s="13">
        <v>10.539999961853001</v>
      </c>
      <c r="P29" s="13">
        <v>9.1499996185302699</v>
      </c>
      <c r="Q29" s="13">
        <v>12.300000190734901</v>
      </c>
      <c r="R29" s="13">
        <v>9.8999996185302699</v>
      </c>
      <c r="S29" s="13">
        <v>9.6300001144409197</v>
      </c>
      <c r="T29" s="13">
        <v>11.3800001144409</v>
      </c>
      <c r="U29" s="13">
        <v>11.8500003814697</v>
      </c>
    </row>
    <row r="30" spans="1:21" ht="16.5" customHeight="1">
      <c r="A30" s="15" t="s">
        <v>19</v>
      </c>
      <c r="B30" s="16" t="s">
        <v>18</v>
      </c>
      <c r="C30" s="2" t="s">
        <v>8</v>
      </c>
      <c r="D30" s="12">
        <v>44</v>
      </c>
      <c r="E30" s="12">
        <v>44</v>
      </c>
      <c r="F30" s="12">
        <v>46</v>
      </c>
      <c r="G30" s="12">
        <v>53</v>
      </c>
      <c r="H30" s="12">
        <v>132</v>
      </c>
      <c r="I30" s="12">
        <v>89</v>
      </c>
      <c r="J30" s="12">
        <v>87</v>
      </c>
      <c r="K30" s="12">
        <v>68</v>
      </c>
      <c r="L30" s="12">
        <v>65</v>
      </c>
      <c r="M30" s="12">
        <v>117</v>
      </c>
      <c r="N30" s="12">
        <v>121</v>
      </c>
      <c r="O30" s="12">
        <v>113</v>
      </c>
      <c r="P30" s="12">
        <v>109</v>
      </c>
      <c r="Q30" s="12">
        <v>224</v>
      </c>
      <c r="R30" s="12">
        <v>121</v>
      </c>
      <c r="S30" s="12">
        <v>144</v>
      </c>
      <c r="T30" s="12">
        <v>182</v>
      </c>
      <c r="U30" s="12">
        <v>124</v>
      </c>
    </row>
    <row r="31" spans="1:21" ht="16.5" customHeight="1">
      <c r="A31" s="15"/>
      <c r="B31" s="16"/>
      <c r="C31" s="2" t="s">
        <v>9</v>
      </c>
      <c r="D31" s="13">
        <v>4.78999996185303</v>
      </c>
      <c r="E31" s="13">
        <v>4.8600001335143999</v>
      </c>
      <c r="F31" s="13">
        <v>5.3299999237060502</v>
      </c>
      <c r="G31" s="13">
        <v>6</v>
      </c>
      <c r="H31" s="13">
        <v>10.300000190734901</v>
      </c>
      <c r="I31" s="13">
        <v>8.0299997329711896</v>
      </c>
      <c r="J31" s="13">
        <v>7.9000000953674299</v>
      </c>
      <c r="K31" s="13">
        <v>6.71000003814697</v>
      </c>
      <c r="L31" s="13">
        <v>6.75</v>
      </c>
      <c r="M31" s="13">
        <v>6.8299999237060502</v>
      </c>
      <c r="N31" s="13">
        <v>7.25</v>
      </c>
      <c r="O31" s="13">
        <v>6.8800001144409197</v>
      </c>
      <c r="P31" s="13">
        <v>6.6500000953674299</v>
      </c>
      <c r="Q31" s="13">
        <v>9.1800003051757795</v>
      </c>
      <c r="R31" s="13">
        <v>6.1100001335143999</v>
      </c>
      <c r="S31" s="13">
        <v>6.6300001144409197</v>
      </c>
      <c r="T31" s="13">
        <v>8.2200002670288104</v>
      </c>
      <c r="U31" s="13">
        <v>6</v>
      </c>
    </row>
    <row r="32" spans="1:21" ht="16.5" customHeight="1">
      <c r="A32" s="15" t="s">
        <v>20</v>
      </c>
      <c r="B32" s="16" t="s">
        <v>50</v>
      </c>
      <c r="C32" s="2" t="s">
        <v>8</v>
      </c>
      <c r="D32" s="14" t="s">
        <v>51</v>
      </c>
      <c r="E32" s="14" t="s">
        <v>52</v>
      </c>
      <c r="F32" s="14" t="s">
        <v>52</v>
      </c>
      <c r="G32" s="14" t="s">
        <v>52</v>
      </c>
      <c r="H32" s="14" t="s">
        <v>53</v>
      </c>
      <c r="I32" s="14" t="s">
        <v>54</v>
      </c>
      <c r="J32" s="14" t="s">
        <v>55</v>
      </c>
      <c r="K32" s="14" t="s">
        <v>55</v>
      </c>
      <c r="L32" s="14" t="s">
        <v>56</v>
      </c>
      <c r="M32" s="14" t="s">
        <v>57</v>
      </c>
      <c r="N32" s="14" t="s">
        <v>58</v>
      </c>
      <c r="O32" s="14" t="s">
        <v>59</v>
      </c>
      <c r="P32" s="14" t="s">
        <v>60</v>
      </c>
      <c r="Q32" s="12">
        <v>45</v>
      </c>
      <c r="R32" s="12">
        <v>38</v>
      </c>
      <c r="S32" s="12">
        <v>39</v>
      </c>
      <c r="T32" s="12">
        <v>38</v>
      </c>
      <c r="U32" s="12">
        <v>46</v>
      </c>
    </row>
    <row r="33" spans="1:21" ht="16.5" customHeight="1">
      <c r="A33" s="15"/>
      <c r="B33" s="16"/>
      <c r="C33" s="2" t="s">
        <v>9</v>
      </c>
      <c r="D33" s="13">
        <v>0.21999999880790699</v>
      </c>
      <c r="E33" s="13">
        <v>0</v>
      </c>
      <c r="F33" s="13">
        <v>0</v>
      </c>
      <c r="G33" s="13">
        <v>0</v>
      </c>
      <c r="H33" s="13">
        <v>0.62000000476837203</v>
      </c>
      <c r="I33" s="13">
        <v>0.44999998807907099</v>
      </c>
      <c r="J33" s="13">
        <v>0.36000001430511502</v>
      </c>
      <c r="K33" s="13">
        <v>0.38999998569488498</v>
      </c>
      <c r="L33" s="13">
        <v>0.62000000476837203</v>
      </c>
      <c r="M33" s="13">
        <v>1.2300000190734901</v>
      </c>
      <c r="N33" s="13">
        <v>1.1399999856948899</v>
      </c>
      <c r="O33" s="13">
        <v>0.730000019073486</v>
      </c>
      <c r="P33" s="13">
        <v>0.61000001430511497</v>
      </c>
      <c r="Q33" s="13">
        <v>1.8400000333786</v>
      </c>
      <c r="R33" s="13">
        <v>1.91999995708466</v>
      </c>
      <c r="S33" s="13">
        <v>1.79999995231628</v>
      </c>
      <c r="T33" s="13">
        <v>1.7200000286102299</v>
      </c>
      <c r="U33" s="13">
        <v>2.2200000286102299</v>
      </c>
    </row>
    <row r="34" spans="1:21" ht="16.5" customHeight="1">
      <c r="A34" s="15" t="s">
        <v>20</v>
      </c>
      <c r="B34" s="16" t="s">
        <v>61</v>
      </c>
      <c r="C34" s="2" t="s">
        <v>8</v>
      </c>
      <c r="D34" s="14" t="s">
        <v>55</v>
      </c>
      <c r="E34" s="14" t="s">
        <v>51</v>
      </c>
      <c r="F34" s="14" t="s">
        <v>55</v>
      </c>
      <c r="G34" s="14" t="s">
        <v>55</v>
      </c>
      <c r="H34" s="14" t="s">
        <v>55</v>
      </c>
      <c r="I34" s="14" t="s">
        <v>54</v>
      </c>
      <c r="J34" s="14" t="s">
        <v>62</v>
      </c>
      <c r="K34" s="14" t="s">
        <v>55</v>
      </c>
      <c r="L34" s="14" t="s">
        <v>62</v>
      </c>
      <c r="M34" s="14" t="s">
        <v>63</v>
      </c>
      <c r="N34" s="14" t="s">
        <v>53</v>
      </c>
      <c r="O34" s="14" t="s">
        <v>56</v>
      </c>
      <c r="P34" s="14" t="s">
        <v>64</v>
      </c>
      <c r="Q34" s="14" t="s">
        <v>65</v>
      </c>
      <c r="R34" s="14" t="s">
        <v>66</v>
      </c>
      <c r="S34" s="14" t="s">
        <v>53</v>
      </c>
      <c r="T34" s="14" t="s">
        <v>67</v>
      </c>
      <c r="U34" s="14" t="s">
        <v>53</v>
      </c>
    </row>
    <row r="35" spans="1:21" ht="16.5" customHeight="1">
      <c r="A35" s="15"/>
      <c r="B35" s="16"/>
      <c r="C35" s="2" t="s">
        <v>9</v>
      </c>
      <c r="D35" s="13">
        <v>0.43999999761581399</v>
      </c>
      <c r="E35" s="13">
        <v>0.21999999880790699</v>
      </c>
      <c r="F35" s="13">
        <v>0.46000000834464999</v>
      </c>
      <c r="G35" s="13">
        <v>0.44999998807907099</v>
      </c>
      <c r="H35" s="13">
        <v>0.31000000238418601</v>
      </c>
      <c r="I35" s="13">
        <v>0.44999998807907099</v>
      </c>
      <c r="J35" s="13">
        <v>0.270000010728836</v>
      </c>
      <c r="K35" s="13">
        <v>0.38999998569488498</v>
      </c>
      <c r="L35" s="13">
        <v>0.31000000238418601</v>
      </c>
      <c r="M35" s="13">
        <v>0.57999998331069902</v>
      </c>
      <c r="N35" s="13">
        <v>0.479999989271164</v>
      </c>
      <c r="O35" s="13">
        <v>0.37000000476837203</v>
      </c>
      <c r="P35" s="13">
        <v>0.43000000715255698</v>
      </c>
      <c r="Q35" s="13">
        <v>0.52999997138977095</v>
      </c>
      <c r="R35" s="13">
        <v>0.40000000596046398</v>
      </c>
      <c r="S35" s="13">
        <v>0.37000000476837203</v>
      </c>
      <c r="T35" s="13">
        <v>0.40999999642372098</v>
      </c>
      <c r="U35" s="13">
        <v>0.38999998569488498</v>
      </c>
    </row>
    <row r="36" spans="1:21" ht="16.5" customHeight="1">
      <c r="A36" s="15" t="s">
        <v>20</v>
      </c>
      <c r="B36" s="16" t="s">
        <v>21</v>
      </c>
      <c r="C36" s="2" t="s">
        <v>8</v>
      </c>
      <c r="D36" s="12">
        <v>21</v>
      </c>
      <c r="E36" s="12">
        <v>24</v>
      </c>
      <c r="F36" s="12">
        <v>26</v>
      </c>
      <c r="G36" s="12">
        <v>25</v>
      </c>
      <c r="H36" s="14" t="s">
        <v>68</v>
      </c>
      <c r="I36" s="12">
        <v>26</v>
      </c>
      <c r="J36" s="14" t="s">
        <v>69</v>
      </c>
      <c r="K36" s="12">
        <v>28</v>
      </c>
      <c r="L36" s="12">
        <v>23</v>
      </c>
      <c r="M36" s="12">
        <v>52</v>
      </c>
      <c r="N36" s="12">
        <v>49</v>
      </c>
      <c r="O36" s="12">
        <v>50</v>
      </c>
      <c r="P36" s="12">
        <v>44</v>
      </c>
      <c r="Q36" s="12">
        <v>64</v>
      </c>
      <c r="R36" s="12">
        <v>57</v>
      </c>
      <c r="S36" s="12">
        <v>72</v>
      </c>
      <c r="T36" s="12">
        <v>67</v>
      </c>
      <c r="U36" s="12">
        <v>55</v>
      </c>
    </row>
    <row r="37" spans="1:21" ht="16.5" customHeight="1">
      <c r="A37" s="15"/>
      <c r="B37" s="16"/>
      <c r="C37" s="2" t="s">
        <v>9</v>
      </c>
      <c r="D37" s="13">
        <v>2.28999996185303</v>
      </c>
      <c r="E37" s="13">
        <v>2.6500000953674299</v>
      </c>
      <c r="F37" s="13">
        <v>3.0099999904632599</v>
      </c>
      <c r="G37" s="13">
        <v>2.8299999237060498</v>
      </c>
      <c r="H37" s="13">
        <v>1.33000004291534</v>
      </c>
      <c r="I37" s="13">
        <v>2.3399999141693102</v>
      </c>
      <c r="J37" s="13">
        <v>2</v>
      </c>
      <c r="K37" s="13">
        <v>2.7599999904632599</v>
      </c>
      <c r="L37" s="13">
        <v>2.3900001049041699</v>
      </c>
      <c r="M37" s="13">
        <v>3.03999996185303</v>
      </c>
      <c r="N37" s="13">
        <v>2.9400000572204599</v>
      </c>
      <c r="O37" s="13">
        <v>3.0499999523162802</v>
      </c>
      <c r="P37" s="13">
        <v>2.6800000667571999</v>
      </c>
      <c r="Q37" s="13">
        <v>2.6199998855590798</v>
      </c>
      <c r="R37" s="13">
        <v>2.8800001144409202</v>
      </c>
      <c r="S37" s="13">
        <v>3.3199999332428001</v>
      </c>
      <c r="T37" s="13">
        <v>3.0299999713897701</v>
      </c>
      <c r="U37" s="13">
        <v>2.6600000858306898</v>
      </c>
    </row>
    <row r="38" spans="1:21" ht="16.5" customHeight="1">
      <c r="A38" s="15" t="s">
        <v>20</v>
      </c>
      <c r="B38" s="16" t="s">
        <v>22</v>
      </c>
      <c r="C38" s="2" t="s">
        <v>8</v>
      </c>
      <c r="D38" s="14" t="s">
        <v>70</v>
      </c>
      <c r="E38" s="14" t="s">
        <v>54</v>
      </c>
      <c r="F38" s="14" t="s">
        <v>56</v>
      </c>
      <c r="G38" s="14" t="s">
        <v>63</v>
      </c>
      <c r="H38" s="14" t="s">
        <v>71</v>
      </c>
      <c r="I38" s="12">
        <v>28</v>
      </c>
      <c r="J38" s="14" t="s">
        <v>57</v>
      </c>
      <c r="K38" s="14" t="s">
        <v>72</v>
      </c>
      <c r="L38" s="14" t="s">
        <v>73</v>
      </c>
      <c r="M38" s="12">
        <v>50</v>
      </c>
      <c r="N38" s="12">
        <v>52</v>
      </c>
      <c r="O38" s="12">
        <v>51</v>
      </c>
      <c r="P38" s="12">
        <v>50</v>
      </c>
      <c r="Q38" s="12">
        <v>41</v>
      </c>
      <c r="R38" s="12">
        <v>24</v>
      </c>
      <c r="S38" s="12">
        <v>28</v>
      </c>
      <c r="T38" s="12">
        <v>26</v>
      </c>
      <c r="U38" s="12">
        <v>41</v>
      </c>
    </row>
    <row r="39" spans="1:21" ht="16.5" customHeight="1">
      <c r="A39" s="15"/>
      <c r="B39" s="16"/>
      <c r="C39" s="2" t="s">
        <v>9</v>
      </c>
      <c r="D39" s="13">
        <v>0.54000002145767201</v>
      </c>
      <c r="E39" s="13">
        <v>0.55000001192092896</v>
      </c>
      <c r="F39" s="13">
        <v>0.69999998807907104</v>
      </c>
      <c r="G39" s="13">
        <v>1.12999999523163</v>
      </c>
      <c r="H39" s="13">
        <v>1.16999995708466</v>
      </c>
      <c r="I39" s="13">
        <v>2.5199999809265101</v>
      </c>
      <c r="J39" s="13">
        <v>1.9099999666214</v>
      </c>
      <c r="K39" s="13">
        <v>2.6600000858306898</v>
      </c>
      <c r="L39" s="13">
        <v>1.87000000476837</v>
      </c>
      <c r="M39" s="13">
        <v>2.9200000762939502</v>
      </c>
      <c r="N39" s="13">
        <v>3.1199998855590798</v>
      </c>
      <c r="O39" s="13">
        <v>3.1099998950958301</v>
      </c>
      <c r="P39" s="13">
        <v>3.0499999523162802</v>
      </c>
      <c r="Q39" s="13">
        <v>1.6799999475479099</v>
      </c>
      <c r="R39" s="13">
        <v>1.21000003814697</v>
      </c>
      <c r="S39" s="13">
        <v>1.28999996185303</v>
      </c>
      <c r="T39" s="13">
        <v>1.16999995708466</v>
      </c>
      <c r="U39" s="13">
        <v>1.9800000190734901</v>
      </c>
    </row>
    <row r="40" spans="1:21" ht="16.5" customHeight="1">
      <c r="A40" s="15" t="s">
        <v>20</v>
      </c>
      <c r="B40" s="16" t="s">
        <v>23</v>
      </c>
      <c r="C40" s="2" t="s">
        <v>8</v>
      </c>
      <c r="D40" s="12">
        <v>142</v>
      </c>
      <c r="E40" s="12">
        <v>143</v>
      </c>
      <c r="F40" s="12">
        <v>134</v>
      </c>
      <c r="G40" s="12">
        <v>133</v>
      </c>
      <c r="H40" s="12">
        <v>153</v>
      </c>
      <c r="I40" s="12">
        <v>141</v>
      </c>
      <c r="J40" s="12">
        <v>190</v>
      </c>
      <c r="K40" s="12">
        <v>171</v>
      </c>
      <c r="L40" s="12">
        <v>160</v>
      </c>
      <c r="M40" s="12">
        <v>514</v>
      </c>
      <c r="N40" s="12">
        <v>491</v>
      </c>
      <c r="O40" s="12">
        <v>517</v>
      </c>
      <c r="P40" s="12">
        <v>541</v>
      </c>
      <c r="Q40" s="12">
        <v>700</v>
      </c>
      <c r="R40" s="12">
        <v>571</v>
      </c>
      <c r="S40" s="12">
        <v>581</v>
      </c>
      <c r="T40" s="12">
        <v>530</v>
      </c>
      <c r="U40" s="12">
        <v>420</v>
      </c>
    </row>
    <row r="41" spans="1:21" ht="16.5" customHeight="1">
      <c r="A41" s="15"/>
      <c r="B41" s="16"/>
      <c r="C41" s="2" t="s">
        <v>9</v>
      </c>
      <c r="D41" s="13">
        <v>15.449999809265099</v>
      </c>
      <c r="E41" s="13">
        <v>15.7799997329712</v>
      </c>
      <c r="F41" s="13">
        <v>15.5299997329712</v>
      </c>
      <c r="G41" s="13">
        <v>15.060000419616699</v>
      </c>
      <c r="H41" s="13">
        <v>11.930000305175801</v>
      </c>
      <c r="I41" s="13">
        <v>12.710000038146999</v>
      </c>
      <c r="J41" s="13">
        <v>17.2600002288818</v>
      </c>
      <c r="K41" s="13">
        <v>16.860000610351602</v>
      </c>
      <c r="L41" s="13">
        <v>16.610000610351602</v>
      </c>
      <c r="M41" s="13">
        <v>30.0200004577637</v>
      </c>
      <c r="N41" s="13">
        <v>29.420000076293899</v>
      </c>
      <c r="O41" s="13">
        <v>31.4899997711182</v>
      </c>
      <c r="P41" s="13">
        <v>33.009998321533203</v>
      </c>
      <c r="Q41" s="13">
        <v>28.690000534057599</v>
      </c>
      <c r="R41" s="13">
        <v>28.850000381469702</v>
      </c>
      <c r="S41" s="13">
        <v>26.7600002288818</v>
      </c>
      <c r="T41" s="13">
        <v>23.940000534057599</v>
      </c>
      <c r="U41" s="13">
        <v>20.309999465942401</v>
      </c>
    </row>
    <row r="42" spans="1:21" ht="16.5" customHeight="1">
      <c r="A42" s="15" t="s">
        <v>20</v>
      </c>
      <c r="B42" s="16" t="s">
        <v>24</v>
      </c>
      <c r="C42" s="2" t="s">
        <v>8</v>
      </c>
      <c r="D42" s="12">
        <v>428</v>
      </c>
      <c r="E42" s="12">
        <v>427</v>
      </c>
      <c r="F42" s="12">
        <v>417</v>
      </c>
      <c r="G42" s="12">
        <v>430</v>
      </c>
      <c r="H42" s="12">
        <v>633</v>
      </c>
      <c r="I42" s="12">
        <v>487</v>
      </c>
      <c r="J42" s="12">
        <v>472</v>
      </c>
      <c r="K42" s="12">
        <v>392</v>
      </c>
      <c r="L42" s="12">
        <v>402</v>
      </c>
      <c r="M42" s="12">
        <v>574</v>
      </c>
      <c r="N42" s="12">
        <v>579</v>
      </c>
      <c r="O42" s="12">
        <v>553</v>
      </c>
      <c r="P42" s="12">
        <v>551</v>
      </c>
      <c r="Q42" s="12">
        <v>859</v>
      </c>
      <c r="R42" s="12">
        <v>674</v>
      </c>
      <c r="S42" s="12">
        <v>766</v>
      </c>
      <c r="T42" s="12">
        <v>874</v>
      </c>
      <c r="U42" s="12">
        <v>817</v>
      </c>
    </row>
    <row r="43" spans="1:21" ht="16.5" customHeight="1">
      <c r="A43" s="15"/>
      <c r="B43" s="16"/>
      <c r="C43" s="2" t="s">
        <v>9</v>
      </c>
      <c r="D43" s="13">
        <v>46.569999694824197</v>
      </c>
      <c r="E43" s="13">
        <v>47.130001068115199</v>
      </c>
      <c r="F43" s="13">
        <v>48.319999694824197</v>
      </c>
      <c r="G43" s="13">
        <v>48.700000762939503</v>
      </c>
      <c r="H43" s="13">
        <v>49.380001068115199</v>
      </c>
      <c r="I43" s="13">
        <v>43.909999847412102</v>
      </c>
      <c r="J43" s="13">
        <v>42.869998931884801</v>
      </c>
      <c r="K43" s="13">
        <v>38.659999847412102</v>
      </c>
      <c r="L43" s="13">
        <v>41.740001678466797</v>
      </c>
      <c r="M43" s="13">
        <v>33.529998779296903</v>
      </c>
      <c r="N43" s="13">
        <v>34.689998626708999</v>
      </c>
      <c r="O43" s="13">
        <v>33.680000305175803</v>
      </c>
      <c r="P43" s="13">
        <v>33.619998931884801</v>
      </c>
      <c r="Q43" s="13">
        <v>35.200000762939503</v>
      </c>
      <c r="R43" s="13">
        <v>34.060001373291001</v>
      </c>
      <c r="S43" s="13">
        <v>35.279998779296903</v>
      </c>
      <c r="T43" s="13">
        <v>39.4799995422363</v>
      </c>
      <c r="U43" s="13">
        <v>39.509998321533203</v>
      </c>
    </row>
    <row r="44" spans="1:21" ht="16.5" customHeight="1">
      <c r="A44" s="15" t="s">
        <v>20</v>
      </c>
      <c r="B44" s="16" t="s">
        <v>25</v>
      </c>
      <c r="C44" s="2" t="s">
        <v>8</v>
      </c>
      <c r="D44" s="12">
        <v>30</v>
      </c>
      <c r="E44" s="12">
        <v>33</v>
      </c>
      <c r="F44" s="12">
        <v>30</v>
      </c>
      <c r="G44" s="12">
        <v>36</v>
      </c>
      <c r="H44" s="12">
        <v>59</v>
      </c>
      <c r="I44" s="12">
        <v>36</v>
      </c>
      <c r="J44" s="12">
        <v>59</v>
      </c>
      <c r="K44" s="12">
        <v>75</v>
      </c>
      <c r="L44" s="12">
        <v>65</v>
      </c>
      <c r="M44" s="12">
        <v>34</v>
      </c>
      <c r="N44" s="12">
        <v>32</v>
      </c>
      <c r="O44" s="14" t="s">
        <v>74</v>
      </c>
      <c r="P44" s="14" t="s">
        <v>69</v>
      </c>
      <c r="Q44" s="12">
        <v>87</v>
      </c>
      <c r="R44" s="12">
        <v>50</v>
      </c>
      <c r="S44" s="12">
        <v>66</v>
      </c>
      <c r="T44" s="12">
        <v>101</v>
      </c>
      <c r="U44" s="12">
        <v>109</v>
      </c>
    </row>
    <row r="45" spans="1:21" ht="16.5" customHeight="1">
      <c r="A45" s="15"/>
      <c r="B45" s="16"/>
      <c r="C45" s="2" t="s">
        <v>9</v>
      </c>
      <c r="D45" s="13">
        <v>3.2599999904632599</v>
      </c>
      <c r="E45" s="13">
        <v>3.6400001049041699</v>
      </c>
      <c r="F45" s="13">
        <v>3.4800000190734899</v>
      </c>
      <c r="G45" s="13">
        <v>4.0799999237060502</v>
      </c>
      <c r="H45" s="13">
        <v>4.5999999046325701</v>
      </c>
      <c r="I45" s="13">
        <v>3.25</v>
      </c>
      <c r="J45" s="13">
        <v>5.3600001335143999</v>
      </c>
      <c r="K45" s="13">
        <v>7.4000000953674299</v>
      </c>
      <c r="L45" s="13">
        <v>6.75</v>
      </c>
      <c r="M45" s="13">
        <v>1.9900000095367401</v>
      </c>
      <c r="N45" s="13">
        <v>1.91999995708466</v>
      </c>
      <c r="O45" s="13">
        <v>1.3999999761581401</v>
      </c>
      <c r="P45" s="13">
        <v>1.3400000333786</v>
      </c>
      <c r="Q45" s="13">
        <v>3.5699999332428001</v>
      </c>
      <c r="R45" s="13">
        <v>2.5299999713897701</v>
      </c>
      <c r="S45" s="13">
        <v>3.03999996185303</v>
      </c>
      <c r="T45" s="13">
        <v>4.5599999427795401</v>
      </c>
      <c r="U45" s="13">
        <v>5.2699999809265101</v>
      </c>
    </row>
    <row r="46" spans="1:21" ht="16.5" customHeight="1">
      <c r="A46" s="15" t="s">
        <v>20</v>
      </c>
      <c r="B46" s="16" t="s">
        <v>26</v>
      </c>
      <c r="C46" s="2" t="s">
        <v>8</v>
      </c>
      <c r="D46" s="12">
        <v>36</v>
      </c>
      <c r="E46" s="12">
        <v>35</v>
      </c>
      <c r="F46" s="12">
        <v>35</v>
      </c>
      <c r="G46" s="12">
        <v>36</v>
      </c>
      <c r="H46" s="12">
        <v>37</v>
      </c>
      <c r="I46" s="12">
        <v>35</v>
      </c>
      <c r="J46" s="12">
        <v>35</v>
      </c>
      <c r="K46" s="14" t="s">
        <v>75</v>
      </c>
      <c r="L46" s="14" t="s">
        <v>76</v>
      </c>
      <c r="M46" s="12">
        <v>58</v>
      </c>
      <c r="N46" s="12">
        <v>55</v>
      </c>
      <c r="O46" s="12">
        <v>53</v>
      </c>
      <c r="P46" s="12">
        <v>59</v>
      </c>
      <c r="Q46" s="12">
        <v>61</v>
      </c>
      <c r="R46" s="12">
        <v>41</v>
      </c>
      <c r="S46" s="12">
        <v>45</v>
      </c>
      <c r="T46" s="12">
        <v>59</v>
      </c>
      <c r="U46" s="12">
        <v>69</v>
      </c>
    </row>
    <row r="47" spans="1:21" ht="16.5" customHeight="1">
      <c r="A47" s="15"/>
      <c r="B47" s="16"/>
      <c r="C47" s="2" t="s">
        <v>9</v>
      </c>
      <c r="D47" s="13">
        <v>3.9200000762939502</v>
      </c>
      <c r="E47" s="13">
        <v>3.8599998950958301</v>
      </c>
      <c r="F47" s="13">
        <v>4.0599999427795401</v>
      </c>
      <c r="G47" s="13">
        <v>4.0799999237060502</v>
      </c>
      <c r="H47" s="13">
        <v>2.8900001049041699</v>
      </c>
      <c r="I47" s="13">
        <v>3.1600000858306898</v>
      </c>
      <c r="J47" s="13">
        <v>3.1800000667571999</v>
      </c>
      <c r="K47" s="13">
        <v>4.53999996185303</v>
      </c>
      <c r="L47" s="13">
        <v>6.0199999809265101</v>
      </c>
      <c r="M47" s="13">
        <v>3.3900001049041699</v>
      </c>
      <c r="N47" s="13">
        <v>3.2999999523162802</v>
      </c>
      <c r="O47" s="13">
        <v>3.2300000190734899</v>
      </c>
      <c r="P47" s="13">
        <v>3.5999999046325701</v>
      </c>
      <c r="Q47" s="13">
        <v>2.5</v>
      </c>
      <c r="R47" s="13">
        <v>2.0699999332428001</v>
      </c>
      <c r="S47" s="13">
        <v>2.0699999332428001</v>
      </c>
      <c r="T47" s="13">
        <v>2.6600000858306898</v>
      </c>
      <c r="U47" s="13">
        <v>3.3399999141693102</v>
      </c>
    </row>
    <row r="48" spans="1:21" ht="16.5" customHeight="1">
      <c r="A48" s="15" t="s">
        <v>20</v>
      </c>
      <c r="B48" s="16" t="s">
        <v>27</v>
      </c>
      <c r="C48" s="2" t="s">
        <v>8</v>
      </c>
      <c r="D48" s="12">
        <v>109</v>
      </c>
      <c r="E48" s="12">
        <v>108</v>
      </c>
      <c r="F48" s="12">
        <v>98</v>
      </c>
      <c r="G48" s="12">
        <v>94</v>
      </c>
      <c r="H48" s="12">
        <v>153</v>
      </c>
      <c r="I48" s="12">
        <v>160</v>
      </c>
      <c r="J48" s="12">
        <v>153</v>
      </c>
      <c r="K48" s="12">
        <v>129</v>
      </c>
      <c r="L48" s="12">
        <v>84</v>
      </c>
      <c r="M48" s="12">
        <v>175</v>
      </c>
      <c r="N48" s="12">
        <v>175</v>
      </c>
      <c r="O48" s="12">
        <v>174</v>
      </c>
      <c r="P48" s="12">
        <v>163</v>
      </c>
      <c r="Q48" s="12">
        <v>232</v>
      </c>
      <c r="R48" s="12">
        <v>258</v>
      </c>
      <c r="S48" s="12">
        <v>245</v>
      </c>
      <c r="T48" s="12">
        <v>209</v>
      </c>
      <c r="U48" s="12">
        <v>171</v>
      </c>
    </row>
    <row r="49" spans="1:21" ht="16.5" customHeight="1">
      <c r="A49" s="15"/>
      <c r="B49" s="16"/>
      <c r="C49" s="2" t="s">
        <v>9</v>
      </c>
      <c r="D49" s="13">
        <v>11.8599996566772</v>
      </c>
      <c r="E49" s="13">
        <v>11.920000076293899</v>
      </c>
      <c r="F49" s="13">
        <v>11.3599996566772</v>
      </c>
      <c r="G49" s="13">
        <v>10.6499996185303</v>
      </c>
      <c r="H49" s="13">
        <v>11.930000305175801</v>
      </c>
      <c r="I49" s="13">
        <v>14.430000305175801</v>
      </c>
      <c r="J49" s="13">
        <v>13.8999996185303</v>
      </c>
      <c r="K49" s="13">
        <v>12.7200002670288</v>
      </c>
      <c r="L49" s="13">
        <v>8.7200002670288104</v>
      </c>
      <c r="M49" s="13">
        <v>10.2200002670288</v>
      </c>
      <c r="N49" s="13">
        <v>10.4899997711182</v>
      </c>
      <c r="O49" s="13">
        <v>10.6000003814697</v>
      </c>
      <c r="P49" s="13">
        <v>9.9499998092651403</v>
      </c>
      <c r="Q49" s="13">
        <v>9.5100002288818395</v>
      </c>
      <c r="R49" s="13">
        <v>13.039999961853001</v>
      </c>
      <c r="S49" s="13">
        <v>11.289999961853001</v>
      </c>
      <c r="T49" s="13">
        <v>9.4399995803833008</v>
      </c>
      <c r="U49" s="13">
        <v>8.2700004577636701</v>
      </c>
    </row>
    <row r="50" spans="1:21" ht="16.5" customHeight="1">
      <c r="A50" s="15" t="s">
        <v>20</v>
      </c>
      <c r="B50" s="16" t="s">
        <v>28</v>
      </c>
      <c r="C50" s="2" t="s">
        <v>8</v>
      </c>
      <c r="D50" s="12">
        <v>142</v>
      </c>
      <c r="E50" s="12">
        <v>128</v>
      </c>
      <c r="F50" s="12">
        <v>113</v>
      </c>
      <c r="G50" s="12">
        <v>114</v>
      </c>
      <c r="H50" s="12">
        <v>203</v>
      </c>
      <c r="I50" s="12">
        <v>187</v>
      </c>
      <c r="J50" s="12">
        <v>143</v>
      </c>
      <c r="K50" s="12">
        <v>138</v>
      </c>
      <c r="L50" s="12">
        <v>144</v>
      </c>
      <c r="M50" s="12">
        <v>225</v>
      </c>
      <c r="N50" s="12">
        <v>208</v>
      </c>
      <c r="O50" s="12">
        <v>204</v>
      </c>
      <c r="P50" s="12">
        <v>192</v>
      </c>
      <c r="Q50" s="12">
        <v>338</v>
      </c>
      <c r="R50" s="12">
        <v>258</v>
      </c>
      <c r="S50" s="12">
        <v>321</v>
      </c>
      <c r="T50" s="12">
        <v>300</v>
      </c>
      <c r="U50" s="12">
        <v>332</v>
      </c>
    </row>
    <row r="51" spans="1:21" ht="16.5" customHeight="1">
      <c r="A51" s="15"/>
      <c r="B51" s="16"/>
      <c r="C51" s="2" t="s">
        <v>9</v>
      </c>
      <c r="D51" s="13">
        <v>15.449999809265099</v>
      </c>
      <c r="E51" s="13">
        <v>14.1300001144409</v>
      </c>
      <c r="F51" s="13">
        <v>13.0900001525879</v>
      </c>
      <c r="G51" s="13">
        <v>12.9099998474121</v>
      </c>
      <c r="H51" s="13">
        <v>15.829999923706101</v>
      </c>
      <c r="I51" s="13">
        <v>16.860000610351602</v>
      </c>
      <c r="J51" s="13">
        <v>12.9899997711182</v>
      </c>
      <c r="K51" s="13">
        <v>13.6099996566772</v>
      </c>
      <c r="L51" s="13">
        <v>14.949999809265099</v>
      </c>
      <c r="M51" s="13">
        <v>13.1400003433228</v>
      </c>
      <c r="N51" s="13">
        <v>12.460000038146999</v>
      </c>
      <c r="O51" s="13">
        <v>12.420000076293899</v>
      </c>
      <c r="P51" s="13">
        <v>11.710000038146999</v>
      </c>
      <c r="Q51" s="13">
        <v>13.8500003814697</v>
      </c>
      <c r="R51" s="13">
        <v>13.039999961853001</v>
      </c>
      <c r="S51" s="13">
        <v>14.789999961853001</v>
      </c>
      <c r="T51" s="13">
        <v>13.550000190734901</v>
      </c>
      <c r="U51" s="13">
        <v>16.049999237060501</v>
      </c>
    </row>
    <row r="52" spans="1:21" ht="16.5" customHeight="1">
      <c r="A52" s="15" t="s">
        <v>29</v>
      </c>
      <c r="B52" s="16" t="s">
        <v>30</v>
      </c>
      <c r="C52" s="2" t="s">
        <v>8</v>
      </c>
      <c r="D52" s="12">
        <v>244</v>
      </c>
      <c r="E52" s="12">
        <v>246</v>
      </c>
      <c r="F52" s="12">
        <v>240</v>
      </c>
      <c r="G52" s="12">
        <v>235</v>
      </c>
      <c r="H52" s="12">
        <v>280</v>
      </c>
      <c r="I52" s="12">
        <v>267</v>
      </c>
      <c r="J52" s="12">
        <v>277</v>
      </c>
      <c r="K52" s="12">
        <v>234</v>
      </c>
      <c r="L52" s="12">
        <v>222</v>
      </c>
      <c r="M52" s="12">
        <v>376</v>
      </c>
      <c r="N52" s="12">
        <v>366</v>
      </c>
      <c r="O52" s="12">
        <v>367</v>
      </c>
      <c r="P52" s="12">
        <v>346</v>
      </c>
      <c r="Q52" s="12">
        <v>422</v>
      </c>
      <c r="R52" s="12">
        <v>407</v>
      </c>
      <c r="S52" s="12">
        <v>421</v>
      </c>
      <c r="T52" s="12">
        <v>404</v>
      </c>
      <c r="U52" s="12">
        <v>391</v>
      </c>
    </row>
    <row r="53" spans="1:21" ht="16.5" customHeight="1">
      <c r="A53" s="15"/>
      <c r="B53" s="16"/>
      <c r="C53" s="2" t="s">
        <v>9</v>
      </c>
      <c r="D53" s="13">
        <v>26.549999237060501</v>
      </c>
      <c r="E53" s="13">
        <v>27.149999618530298</v>
      </c>
      <c r="F53" s="13">
        <v>27.809999465942401</v>
      </c>
      <c r="G53" s="13">
        <v>26.610000610351602</v>
      </c>
      <c r="H53" s="13">
        <v>21.840000152587901</v>
      </c>
      <c r="I53" s="13">
        <v>24.079999923706101</v>
      </c>
      <c r="J53" s="13">
        <v>25.159999847412099</v>
      </c>
      <c r="K53" s="13">
        <v>23.079999923706101</v>
      </c>
      <c r="L53" s="13">
        <v>23.049999237060501</v>
      </c>
      <c r="M53" s="13">
        <v>21.959999084472699</v>
      </c>
      <c r="N53" s="13">
        <v>21.930000305175799</v>
      </c>
      <c r="O53" s="13">
        <v>22.350000381469702</v>
      </c>
      <c r="P53" s="13">
        <v>21.110000610351602</v>
      </c>
      <c r="Q53" s="13">
        <v>17.299999237060501</v>
      </c>
      <c r="R53" s="13">
        <v>20.569999694824201</v>
      </c>
      <c r="S53" s="13">
        <v>19.389999389648398</v>
      </c>
      <c r="T53" s="13">
        <v>18.25</v>
      </c>
      <c r="U53" s="13">
        <v>18.909999847412099</v>
      </c>
    </row>
    <row r="54" spans="1:21" ht="16.5" customHeight="1">
      <c r="A54" s="15" t="s">
        <v>29</v>
      </c>
      <c r="B54" s="16" t="s">
        <v>31</v>
      </c>
      <c r="C54" s="2" t="s">
        <v>8</v>
      </c>
      <c r="D54" s="12">
        <v>255</v>
      </c>
      <c r="E54" s="12">
        <v>233</v>
      </c>
      <c r="F54" s="12">
        <v>216</v>
      </c>
      <c r="G54" s="12">
        <v>230</v>
      </c>
      <c r="H54" s="12">
        <v>301</v>
      </c>
      <c r="I54" s="12">
        <v>233</v>
      </c>
      <c r="J54" s="12">
        <v>264</v>
      </c>
      <c r="K54" s="12">
        <v>247</v>
      </c>
      <c r="L54" s="12">
        <v>229</v>
      </c>
      <c r="M54" s="12">
        <v>352</v>
      </c>
      <c r="N54" s="12">
        <v>333</v>
      </c>
      <c r="O54" s="12">
        <v>321</v>
      </c>
      <c r="P54" s="12">
        <v>325</v>
      </c>
      <c r="Q54" s="12">
        <v>522</v>
      </c>
      <c r="R54" s="12">
        <v>489</v>
      </c>
      <c r="S54" s="12">
        <v>512</v>
      </c>
      <c r="T54" s="12">
        <v>465</v>
      </c>
      <c r="U54" s="12">
        <v>402</v>
      </c>
    </row>
    <row r="55" spans="1:21" ht="16.5" customHeight="1">
      <c r="A55" s="15"/>
      <c r="B55" s="16"/>
      <c r="C55" s="2" t="s">
        <v>9</v>
      </c>
      <c r="D55" s="13">
        <v>27.75</v>
      </c>
      <c r="E55" s="13">
        <v>25.719999313354499</v>
      </c>
      <c r="F55" s="13">
        <v>25.030000686645501</v>
      </c>
      <c r="G55" s="13">
        <v>26.049999237060501</v>
      </c>
      <c r="H55" s="13">
        <v>23.4799995422363</v>
      </c>
      <c r="I55" s="13">
        <v>21.0100002288818</v>
      </c>
      <c r="J55" s="13">
        <v>23.9799995422363</v>
      </c>
      <c r="K55" s="13">
        <v>24.360000610351602</v>
      </c>
      <c r="L55" s="13">
        <v>23.780000686645501</v>
      </c>
      <c r="M55" s="13">
        <v>20.559999465942401</v>
      </c>
      <c r="N55" s="13">
        <v>19.950000762939499</v>
      </c>
      <c r="O55" s="13">
        <v>19.549999237060501</v>
      </c>
      <c r="P55" s="13">
        <v>19.829999923706101</v>
      </c>
      <c r="Q55" s="13">
        <v>21.389999389648398</v>
      </c>
      <c r="R55" s="13">
        <v>24.709999084472699</v>
      </c>
      <c r="S55" s="13">
        <v>23.579999923706101</v>
      </c>
      <c r="T55" s="13">
        <v>21</v>
      </c>
      <c r="U55" s="13">
        <v>19.440000534057599</v>
      </c>
    </row>
    <row r="56" spans="1:21" ht="16.5" customHeight="1">
      <c r="A56" s="15" t="s">
        <v>29</v>
      </c>
      <c r="B56" s="16" t="s">
        <v>32</v>
      </c>
      <c r="C56" s="2" t="s">
        <v>8</v>
      </c>
      <c r="D56" s="12">
        <v>243</v>
      </c>
      <c r="E56" s="12">
        <v>256</v>
      </c>
      <c r="F56" s="12">
        <v>254</v>
      </c>
      <c r="G56" s="12">
        <v>267</v>
      </c>
      <c r="H56" s="12">
        <v>462</v>
      </c>
      <c r="I56" s="12">
        <v>322</v>
      </c>
      <c r="J56" s="12">
        <v>291</v>
      </c>
      <c r="K56" s="12">
        <v>291</v>
      </c>
      <c r="L56" s="12">
        <v>285</v>
      </c>
      <c r="M56" s="12">
        <v>509</v>
      </c>
      <c r="N56" s="12">
        <v>508</v>
      </c>
      <c r="O56" s="12">
        <v>510</v>
      </c>
      <c r="P56" s="12">
        <v>508</v>
      </c>
      <c r="Q56" s="12">
        <v>696</v>
      </c>
      <c r="R56" s="12">
        <v>534</v>
      </c>
      <c r="S56" s="12">
        <v>564</v>
      </c>
      <c r="T56" s="12">
        <v>631</v>
      </c>
      <c r="U56" s="12">
        <v>620</v>
      </c>
    </row>
    <row r="57" spans="1:21" ht="16.5" customHeight="1">
      <c r="A57" s="15"/>
      <c r="B57" s="16"/>
      <c r="C57" s="2" t="s">
        <v>9</v>
      </c>
      <c r="D57" s="13">
        <v>26.440000534057599</v>
      </c>
      <c r="E57" s="13">
        <v>28.2600002288818</v>
      </c>
      <c r="F57" s="13">
        <v>29.430000305175799</v>
      </c>
      <c r="G57" s="13">
        <v>30.2399997711182</v>
      </c>
      <c r="H57" s="13">
        <v>36.040000915527301</v>
      </c>
      <c r="I57" s="13">
        <v>29.040000915527301</v>
      </c>
      <c r="J57" s="13">
        <v>26.430000305175799</v>
      </c>
      <c r="K57" s="13">
        <v>28.700000762939499</v>
      </c>
      <c r="L57" s="13">
        <v>29.600000381469702</v>
      </c>
      <c r="M57" s="13">
        <v>29.7299995422363</v>
      </c>
      <c r="N57" s="13">
        <v>30.440000534057599</v>
      </c>
      <c r="O57" s="13">
        <v>31.059999465942401</v>
      </c>
      <c r="P57" s="13">
        <v>30.9899997711182</v>
      </c>
      <c r="Q57" s="13">
        <v>28.5200004577637</v>
      </c>
      <c r="R57" s="13">
        <v>26.9799995422363</v>
      </c>
      <c r="S57" s="13">
        <v>25.9799995422363</v>
      </c>
      <c r="T57" s="13">
        <v>28.5</v>
      </c>
      <c r="U57" s="13">
        <v>29.9799995422363</v>
      </c>
    </row>
    <row r="58" spans="1:21" ht="16.5" customHeight="1">
      <c r="A58" s="15" t="s">
        <v>29</v>
      </c>
      <c r="B58" s="16" t="s">
        <v>33</v>
      </c>
      <c r="C58" s="2" t="s">
        <v>8</v>
      </c>
      <c r="D58" s="12">
        <v>109</v>
      </c>
      <c r="E58" s="12">
        <v>107</v>
      </c>
      <c r="F58" s="12">
        <v>97</v>
      </c>
      <c r="G58" s="12">
        <v>99</v>
      </c>
      <c r="H58" s="12">
        <v>129</v>
      </c>
      <c r="I58" s="12">
        <v>141</v>
      </c>
      <c r="J58" s="12">
        <v>145</v>
      </c>
      <c r="K58" s="12">
        <v>154</v>
      </c>
      <c r="L58" s="12">
        <v>171</v>
      </c>
      <c r="M58" s="12">
        <v>360</v>
      </c>
      <c r="N58" s="12">
        <v>344</v>
      </c>
      <c r="O58" s="12">
        <v>312</v>
      </c>
      <c r="P58" s="12">
        <v>321</v>
      </c>
      <c r="Q58" s="12">
        <v>494</v>
      </c>
      <c r="R58" s="12">
        <v>337</v>
      </c>
      <c r="S58" s="12">
        <v>401</v>
      </c>
      <c r="T58" s="12">
        <v>420</v>
      </c>
      <c r="U58" s="12">
        <v>410</v>
      </c>
    </row>
    <row r="59" spans="1:21" ht="16.5" customHeight="1">
      <c r="A59" s="15"/>
      <c r="B59" s="16"/>
      <c r="C59" s="2" t="s">
        <v>9</v>
      </c>
      <c r="D59" s="13">
        <v>11.8599996566772</v>
      </c>
      <c r="E59" s="13">
        <v>11.810000419616699</v>
      </c>
      <c r="F59" s="13">
        <v>11.2399997711182</v>
      </c>
      <c r="G59" s="13">
        <v>11.210000038146999</v>
      </c>
      <c r="H59" s="13">
        <v>10.060000419616699</v>
      </c>
      <c r="I59" s="13">
        <v>12.710000038146999</v>
      </c>
      <c r="J59" s="13">
        <v>13.170000076293899</v>
      </c>
      <c r="K59" s="13">
        <v>15.189999580383301</v>
      </c>
      <c r="L59" s="13">
        <v>17.7600002288818</v>
      </c>
      <c r="M59" s="13">
        <v>21.030000686645501</v>
      </c>
      <c r="N59" s="13">
        <v>20.610000610351602</v>
      </c>
      <c r="O59" s="13">
        <v>19</v>
      </c>
      <c r="P59" s="13">
        <v>19.590000152587901</v>
      </c>
      <c r="Q59" s="13">
        <v>20.25</v>
      </c>
      <c r="R59" s="13">
        <v>17.030000686645501</v>
      </c>
      <c r="S59" s="13">
        <v>18.469999313354499</v>
      </c>
      <c r="T59" s="13">
        <v>18.969999313354499</v>
      </c>
      <c r="U59" s="13">
        <v>19.829999923706101</v>
      </c>
    </row>
    <row r="60" spans="1:21" ht="16.5" customHeight="1">
      <c r="A60" s="15" t="s">
        <v>29</v>
      </c>
      <c r="B60" s="16" t="s">
        <v>34</v>
      </c>
      <c r="C60" s="2" t="s">
        <v>8</v>
      </c>
      <c r="D60" s="12">
        <v>68</v>
      </c>
      <c r="E60" s="12">
        <v>65</v>
      </c>
      <c r="F60" s="12">
        <v>57</v>
      </c>
      <c r="G60" s="12">
        <v>52</v>
      </c>
      <c r="H60" s="12">
        <v>110</v>
      </c>
      <c r="I60" s="12">
        <v>145</v>
      </c>
      <c r="J60" s="12">
        <v>124</v>
      </c>
      <c r="K60" s="12">
        <v>88</v>
      </c>
      <c r="L60" s="12">
        <v>56</v>
      </c>
      <c r="M60" s="12">
        <v>116</v>
      </c>
      <c r="N60" s="12">
        <v>118</v>
      </c>
      <c r="O60" s="12">
        <v>132</v>
      </c>
      <c r="P60" s="12">
        <v>139</v>
      </c>
      <c r="Q60" s="12">
        <v>305</v>
      </c>
      <c r="R60" s="12">
        <v>212</v>
      </c>
      <c r="S60" s="12">
        <v>273</v>
      </c>
      <c r="T60" s="12">
        <v>293</v>
      </c>
      <c r="U60" s="12">
        <v>245</v>
      </c>
    </row>
    <row r="61" spans="1:21" ht="16.5" customHeight="1">
      <c r="A61" s="15"/>
      <c r="B61" s="16"/>
      <c r="C61" s="2" t="s">
        <v>9</v>
      </c>
      <c r="D61" s="13">
        <v>7.4000000953674299</v>
      </c>
      <c r="E61" s="13">
        <v>7.1700000762939498</v>
      </c>
      <c r="F61" s="13">
        <v>6.5999999046325701</v>
      </c>
      <c r="G61" s="13">
        <v>5.8899998664856001</v>
      </c>
      <c r="H61" s="13">
        <v>8.5799999237060494</v>
      </c>
      <c r="I61" s="13">
        <v>13.069999694824199</v>
      </c>
      <c r="J61" s="13">
        <v>11.2600002288818</v>
      </c>
      <c r="K61" s="13">
        <v>8.6800003051757795</v>
      </c>
      <c r="L61" s="13">
        <v>5.8200001716613796</v>
      </c>
      <c r="M61" s="13">
        <v>6.7800002098083496</v>
      </c>
      <c r="N61" s="13">
        <v>7.0700001716613796</v>
      </c>
      <c r="O61" s="13">
        <v>8.0399999618530291</v>
      </c>
      <c r="P61" s="13">
        <v>8.4799995422363299</v>
      </c>
      <c r="Q61" s="13">
        <v>12.5</v>
      </c>
      <c r="R61" s="13">
        <v>10.710000038146999</v>
      </c>
      <c r="S61" s="13">
        <v>12.569999694824199</v>
      </c>
      <c r="T61" s="13">
        <v>13.2299995422363</v>
      </c>
      <c r="U61" s="13">
        <v>11.8500003814697</v>
      </c>
    </row>
    <row r="62" spans="1:21" ht="16.5" customHeight="1"/>
    <row r="63" spans="1:21">
      <c r="A63" s="9" t="s">
        <v>35</v>
      </c>
      <c r="B63" s="10" t="s">
        <v>36</v>
      </c>
    </row>
    <row r="64" spans="1:21">
      <c r="A64" s="9" t="s">
        <v>37</v>
      </c>
      <c r="B64" s="10" t="s">
        <v>38</v>
      </c>
    </row>
    <row r="65" spans="1:2">
      <c r="A65" s="9"/>
      <c r="B65" s="10" t="s">
        <v>39</v>
      </c>
    </row>
  </sheetData>
  <mergeCells count="108">
    <mergeCell ref="A60:A61"/>
    <mergeCell ref="B60:B61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2:A43"/>
    <mergeCell ref="B42:B43"/>
    <mergeCell ref="A44:A45"/>
    <mergeCell ref="B44:B45"/>
    <mergeCell ref="A46:A47"/>
    <mergeCell ref="B46:B47"/>
    <mergeCell ref="A36:A37"/>
    <mergeCell ref="B36:B37"/>
    <mergeCell ref="A38:A39"/>
    <mergeCell ref="B38:B39"/>
    <mergeCell ref="A40:A41"/>
    <mergeCell ref="B40:B41"/>
    <mergeCell ref="A30:A31"/>
    <mergeCell ref="B30:B31"/>
    <mergeCell ref="A32:A33"/>
    <mergeCell ref="B32:B33"/>
    <mergeCell ref="A34:A35"/>
    <mergeCell ref="B34:B35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GB4:GJ4"/>
    <mergeCell ref="GK4:GS4"/>
    <mergeCell ref="GT4:HB4"/>
    <mergeCell ref="BX4:CF4"/>
    <mergeCell ref="CG4:CO4"/>
    <mergeCell ref="CP4:CX4"/>
    <mergeCell ref="CY4:DG4"/>
    <mergeCell ref="DH4:DP4"/>
    <mergeCell ref="DQ4:DY4"/>
    <mergeCell ref="HC4:HK4"/>
    <mergeCell ref="HL4:HT4"/>
    <mergeCell ref="HU4:IC4"/>
    <mergeCell ref="DZ4:EH4"/>
    <mergeCell ref="EI4:EQ4"/>
    <mergeCell ref="ER4:EZ4"/>
    <mergeCell ref="FA4:FI4"/>
    <mergeCell ref="FJ4:FR4"/>
    <mergeCell ref="FS4:GA4"/>
    <mergeCell ref="HL3:HT3"/>
    <mergeCell ref="HU3:IC3"/>
    <mergeCell ref="D4:L4"/>
    <mergeCell ref="M4:U4"/>
    <mergeCell ref="V4:AD4"/>
    <mergeCell ref="AE4:AM4"/>
    <mergeCell ref="AN4:AV4"/>
    <mergeCell ref="AW4:BE4"/>
    <mergeCell ref="BF4:BN4"/>
    <mergeCell ref="BO4:BW4"/>
    <mergeCell ref="FJ3:FR3"/>
    <mergeCell ref="FS3:GA3"/>
    <mergeCell ref="GB3:GJ3"/>
    <mergeCell ref="GK3:GS3"/>
    <mergeCell ref="GT3:HB3"/>
    <mergeCell ref="HC3:HK3"/>
    <mergeCell ref="DH3:DP3"/>
    <mergeCell ref="DQ3:DY3"/>
    <mergeCell ref="DZ3:EH3"/>
    <mergeCell ref="EI3:EQ3"/>
    <mergeCell ref="ER3:EZ3"/>
    <mergeCell ref="FA3:FI3"/>
    <mergeCell ref="BF3:BN3"/>
    <mergeCell ref="BO3:BW3"/>
    <mergeCell ref="BX3:CF3"/>
    <mergeCell ref="CG3:CO3"/>
    <mergeCell ref="CP3:CX3"/>
    <mergeCell ref="CY3:DG3"/>
    <mergeCell ref="D3:L3"/>
    <mergeCell ref="M3:U3"/>
    <mergeCell ref="V3:AD3"/>
    <mergeCell ref="AE3:AM3"/>
    <mergeCell ref="AN3:AV3"/>
    <mergeCell ref="AW3:B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966A2206CF1B49928AFEA067235FCC" ma:contentTypeVersion="6" ma:contentTypeDescription="Create a new document." ma:contentTypeScope="" ma:versionID="c696e117e3f3ac0e28c72545c44b2132">
  <xsd:schema xmlns:xsd="http://www.w3.org/2001/XMLSchema" xmlns:xs="http://www.w3.org/2001/XMLSchema" xmlns:p="http://schemas.microsoft.com/office/2006/metadata/properties" xmlns:ns3="bee92216-c4f9-479b-96b6-e93c39b5d591" targetNamespace="http://schemas.microsoft.com/office/2006/metadata/properties" ma:root="true" ma:fieldsID="fc810e5e246c94ad59774ccbf398f39d" ns3:_="">
    <xsd:import namespace="bee92216-c4f9-479b-96b6-e93c39b5d5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92216-c4f9-479b-96b6-e93c39b5d5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e92216-c4f9-479b-96b6-e93c39b5d591" xsi:nil="true"/>
  </documentManagement>
</p:properties>
</file>

<file path=customXml/itemProps1.xml><?xml version="1.0" encoding="utf-8"?>
<ds:datastoreItem xmlns:ds="http://schemas.openxmlformats.org/officeDocument/2006/customXml" ds:itemID="{DE3C2EDD-09F6-4401-9CD4-6E008AE53DC2}"/>
</file>

<file path=customXml/itemProps2.xml><?xml version="1.0" encoding="utf-8"?>
<ds:datastoreItem xmlns:ds="http://schemas.openxmlformats.org/officeDocument/2006/customXml" ds:itemID="{653443DA-E9EE-4B3F-8305-69438EFDEAB8}"/>
</file>

<file path=customXml/itemProps3.xml><?xml version="1.0" encoding="utf-8"?>
<ds:datastoreItem xmlns:ds="http://schemas.openxmlformats.org/officeDocument/2006/customXml" ds:itemID="{7A7BC4D2-4434-4495-9FC4-44AA56728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2025-10-07T17:20:21Z</dcterms:created>
  <dcterms:modified xsi:type="dcterms:W3CDTF">2026-09-27T20:42:20Z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0x010100D6966A2206CF1B49928AFEA067235FCC</vt:lpwstr>
  </property>
</Properties>
</file>